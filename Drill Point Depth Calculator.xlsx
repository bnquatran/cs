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ese\Desktop\DMT 84A\"/>
    </mc:Choice>
  </mc:AlternateContent>
  <bookViews>
    <workbookView xWindow="360" yWindow="12" windowWidth="20952" windowHeight="9720" activeTab="4"/>
  </bookViews>
  <sheets>
    <sheet name="Sheet1" sheetId="1" r:id="rId1"/>
    <sheet name="Sheet2" sheetId="2" r:id="rId2"/>
    <sheet name="Sheet3" sheetId="3" r:id="rId3"/>
    <sheet name="Perent Error" sheetId="4" r:id="rId4"/>
    <sheet name="Tapping" sheetId="5" r:id="rId5"/>
    <sheet name="Countersinking" sheetId="6" r:id="rId6"/>
  </sheets>
  <calcPr calcId="162913"/>
</workbook>
</file>

<file path=xl/calcChain.xml><?xml version="1.0" encoding="utf-8"?>
<calcChain xmlns="http://schemas.openxmlformats.org/spreadsheetml/2006/main">
  <c r="I2" i="6" l="1"/>
  <c r="C2" i="6"/>
  <c r="C5" i="6" s="1"/>
  <c r="E6" i="5"/>
  <c r="F6" i="5" s="1"/>
  <c r="G6" i="5" s="1"/>
  <c r="D3" i="5"/>
  <c r="E3" i="5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A7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D5" i="3"/>
  <c r="C5" i="3"/>
  <c r="C4" i="3"/>
  <c r="D4" i="3" s="1"/>
  <c r="C27" i="2"/>
  <c r="D27" i="2" s="1"/>
  <c r="C26" i="2"/>
  <c r="C25" i="2"/>
  <c r="D25" i="2" s="1"/>
  <c r="C24" i="2"/>
  <c r="D24" i="2" s="1"/>
  <c r="C23" i="2"/>
  <c r="C22" i="2"/>
  <c r="D22" i="2" s="1"/>
  <c r="C21" i="2"/>
  <c r="D21" i="2" s="1"/>
  <c r="C20" i="2"/>
  <c r="C19" i="2"/>
  <c r="D19" i="2" s="1"/>
  <c r="C18" i="2"/>
  <c r="B7" i="4" s="1"/>
  <c r="C17" i="2"/>
  <c r="C16" i="2"/>
  <c r="D16" i="2" s="1"/>
  <c r="C15" i="2"/>
  <c r="D15" i="2" s="1"/>
  <c r="C14" i="2"/>
  <c r="C13" i="2"/>
  <c r="B6" i="4" s="1"/>
  <c r="C12" i="2"/>
  <c r="D12" i="2" s="1"/>
  <c r="C11" i="2"/>
  <c r="C10" i="2"/>
  <c r="D10" i="2" s="1"/>
  <c r="C9" i="2"/>
  <c r="D9" i="2" s="1"/>
  <c r="C8" i="2"/>
  <c r="C7" i="2"/>
  <c r="B3" i="4" s="1"/>
  <c r="D6" i="2"/>
  <c r="C6" i="2"/>
  <c r="B2" i="4" s="1"/>
  <c r="C5" i="2"/>
  <c r="D5" i="2" s="1"/>
  <c r="C4" i="2"/>
  <c r="A4" i="2"/>
  <c r="G4" i="2" s="1"/>
  <c r="E7" i="1"/>
  <c r="F7" i="1" s="1"/>
  <c r="E6" i="1"/>
  <c r="F6" i="1" s="1"/>
  <c r="F5" i="1"/>
  <c r="E5" i="1"/>
  <c r="E4" i="1"/>
  <c r="F4" i="1" s="1"/>
  <c r="F3" i="1"/>
  <c r="E3" i="1"/>
  <c r="E2" i="1"/>
  <c r="F2" i="1" s="1"/>
  <c r="E6" i="3" l="1"/>
  <c r="E4" i="3"/>
  <c r="A7" i="2"/>
  <c r="E27" i="3"/>
  <c r="E25" i="3"/>
  <c r="E23" i="3"/>
  <c r="E21" i="3"/>
  <c r="E19" i="3"/>
  <c r="E17" i="3"/>
  <c r="E15" i="3"/>
  <c r="E13" i="3"/>
  <c r="E11" i="3"/>
  <c r="E9" i="3"/>
  <c r="E7" i="3"/>
  <c r="E5" i="3"/>
  <c r="E26" i="3"/>
  <c r="E24" i="3"/>
  <c r="E22" i="3"/>
  <c r="E20" i="3"/>
  <c r="E18" i="3"/>
  <c r="E16" i="3"/>
  <c r="E14" i="3"/>
  <c r="E12" i="3"/>
  <c r="E10" i="3"/>
  <c r="E8" i="3"/>
  <c r="B5" i="4"/>
  <c r="D13" i="2"/>
  <c r="B4" i="4"/>
  <c r="D18" i="2"/>
  <c r="D23" i="2"/>
  <c r="D26" i="2"/>
  <c r="D8" i="2"/>
  <c r="D11" i="2"/>
  <c r="D14" i="2"/>
  <c r="D17" i="2"/>
  <c r="D20" i="2"/>
  <c r="D4" i="2"/>
  <c r="D7" i="2"/>
  <c r="G11" i="3" l="1"/>
  <c r="F11" i="3"/>
  <c r="H11" i="3" s="1"/>
  <c r="F14" i="3"/>
  <c r="H14" i="3" s="1"/>
  <c r="G14" i="3"/>
  <c r="G16" i="3"/>
  <c r="F16" i="3"/>
  <c r="H16" i="3" s="1"/>
  <c r="G25" i="3"/>
  <c r="F25" i="3"/>
  <c r="H25" i="3" s="1"/>
  <c r="F10" i="3"/>
  <c r="H10" i="3" s="1"/>
  <c r="G10" i="3"/>
  <c r="F20" i="3"/>
  <c r="H20" i="3" s="1"/>
  <c r="G20" i="3"/>
  <c r="G27" i="3"/>
  <c r="F27" i="3"/>
  <c r="H27" i="3" s="1"/>
  <c r="G13" i="3"/>
  <c r="F13" i="3"/>
  <c r="H13" i="3" s="1"/>
  <c r="G17" i="3"/>
  <c r="F17" i="3"/>
  <c r="H17" i="3" s="1"/>
  <c r="G22" i="3"/>
  <c r="F22" i="3"/>
  <c r="H22" i="3" s="1"/>
  <c r="F24" i="3"/>
  <c r="H24" i="3" s="1"/>
  <c r="G24" i="3"/>
  <c r="E25" i="2"/>
  <c r="E22" i="2"/>
  <c r="E19" i="2"/>
  <c r="E16" i="2"/>
  <c r="E13" i="2"/>
  <c r="E10" i="2"/>
  <c r="E7" i="2"/>
  <c r="E6" i="2"/>
  <c r="E26" i="2"/>
  <c r="E23" i="2"/>
  <c r="E20" i="2"/>
  <c r="E17" i="2"/>
  <c r="E14" i="2"/>
  <c r="E11" i="2"/>
  <c r="E8" i="2"/>
  <c r="E5" i="2"/>
  <c r="E27" i="2"/>
  <c r="E24" i="2"/>
  <c r="E21" i="2"/>
  <c r="E18" i="2"/>
  <c r="E15" i="2"/>
  <c r="E12" i="2"/>
  <c r="E9" i="2"/>
  <c r="E4" i="2"/>
  <c r="G15" i="3"/>
  <c r="F15" i="3"/>
  <c r="H15" i="3" s="1"/>
  <c r="F18" i="3"/>
  <c r="H18" i="3" s="1"/>
  <c r="G18" i="3"/>
  <c r="G21" i="3"/>
  <c r="F21" i="3"/>
  <c r="H21" i="3" s="1"/>
  <c r="G26" i="3"/>
  <c r="F26" i="3"/>
  <c r="H26" i="3" s="1"/>
  <c r="G7" i="3"/>
  <c r="F7" i="3"/>
  <c r="H7" i="3" s="1"/>
  <c r="G4" i="3"/>
  <c r="F4" i="3"/>
  <c r="H4" i="3" s="1"/>
  <c r="G12" i="3"/>
  <c r="F12" i="3"/>
  <c r="H12" i="3" s="1"/>
  <c r="G19" i="3"/>
  <c r="F19" i="3"/>
  <c r="H19" i="3" s="1"/>
  <c r="G23" i="3"/>
  <c r="F23" i="3"/>
  <c r="H23" i="3" s="1"/>
  <c r="G5" i="3"/>
  <c r="F5" i="3"/>
  <c r="H5" i="3" s="1"/>
  <c r="F8" i="3"/>
  <c r="H8" i="3" s="1"/>
  <c r="G8" i="3"/>
  <c r="G9" i="3"/>
  <c r="F9" i="3"/>
  <c r="H9" i="3" s="1"/>
  <c r="G6" i="3"/>
  <c r="F6" i="3"/>
  <c r="H6" i="3" s="1"/>
  <c r="F11" i="2" l="1"/>
  <c r="H11" i="2"/>
  <c r="H22" i="2"/>
  <c r="F22" i="2"/>
  <c r="H25" i="2"/>
  <c r="I25" i="2"/>
  <c r="F25" i="2"/>
  <c r="I9" i="2"/>
  <c r="H9" i="2"/>
  <c r="F9" i="2"/>
  <c r="H20" i="2"/>
  <c r="F20" i="2"/>
  <c r="H17" i="2"/>
  <c r="F17" i="2"/>
  <c r="H12" i="2"/>
  <c r="F12" i="2"/>
  <c r="I12" i="2"/>
  <c r="I23" i="2"/>
  <c r="F23" i="2"/>
  <c r="H23" i="2"/>
  <c r="F4" i="2"/>
  <c r="H4" i="2"/>
  <c r="I11" i="2" s="1"/>
  <c r="I15" i="2"/>
  <c r="F15" i="2"/>
  <c r="H15" i="2"/>
  <c r="I26" i="2"/>
  <c r="H26" i="2"/>
  <c r="F26" i="2"/>
  <c r="I14" i="2"/>
  <c r="H14" i="2"/>
  <c r="F14" i="2"/>
  <c r="H18" i="2"/>
  <c r="F18" i="2"/>
  <c r="H6" i="2"/>
  <c r="I6" i="2"/>
  <c r="F6" i="2"/>
  <c r="H21" i="2"/>
  <c r="F21" i="2"/>
  <c r="I21" i="2"/>
  <c r="I7" i="2"/>
  <c r="F7" i="2"/>
  <c r="H7" i="2"/>
  <c r="F24" i="2"/>
  <c r="H24" i="2"/>
  <c r="H10" i="2"/>
  <c r="I10" i="2"/>
  <c r="F10" i="2"/>
  <c r="F27" i="2"/>
  <c r="I27" i="2"/>
  <c r="H27" i="2"/>
  <c r="H13" i="2"/>
  <c r="I13" i="2"/>
  <c r="F13" i="2"/>
  <c r="I5" i="2"/>
  <c r="H5" i="2"/>
  <c r="F5" i="2"/>
  <c r="I16" i="2"/>
  <c r="H16" i="2"/>
  <c r="F16" i="2"/>
  <c r="F8" i="2"/>
  <c r="I8" i="2"/>
  <c r="H8" i="2"/>
  <c r="I19" i="2"/>
  <c r="F19" i="2"/>
  <c r="H19" i="2"/>
  <c r="J25" i="2" l="1"/>
  <c r="J14" i="2"/>
  <c r="J7" i="2"/>
  <c r="J12" i="2"/>
  <c r="J8" i="2"/>
  <c r="K8" i="2"/>
  <c r="K9" i="2"/>
  <c r="J9" i="2"/>
  <c r="J10" i="2"/>
  <c r="J6" i="2"/>
  <c r="I17" i="2"/>
  <c r="J22" i="2"/>
  <c r="K21" i="2"/>
  <c r="J21" i="2"/>
  <c r="K15" i="2"/>
  <c r="J15" i="2"/>
  <c r="J17" i="2"/>
  <c r="I22" i="2"/>
  <c r="J13" i="2"/>
  <c r="J23" i="2"/>
  <c r="J26" i="2"/>
  <c r="K26" i="2"/>
  <c r="K5" i="2"/>
  <c r="J5" i="2"/>
  <c r="K18" i="2"/>
  <c r="J18" i="2"/>
  <c r="I20" i="2"/>
  <c r="J16" i="2"/>
  <c r="J24" i="2"/>
  <c r="I18" i="2"/>
  <c r="I4" i="2"/>
  <c r="J20" i="2"/>
  <c r="K20" i="2"/>
  <c r="J11" i="2"/>
  <c r="K11" i="2"/>
  <c r="K19" i="2"/>
  <c r="J19" i="2"/>
  <c r="J27" i="2"/>
  <c r="I24" i="2"/>
  <c r="J4" i="2"/>
  <c r="K25" i="2" s="1"/>
  <c r="K4" i="2"/>
  <c r="K12" i="2" l="1"/>
  <c r="K22" i="2"/>
  <c r="K7" i="2"/>
  <c r="K24" i="2"/>
  <c r="K6" i="2"/>
  <c r="K14" i="2"/>
  <c r="K13" i="2"/>
  <c r="K23" i="2"/>
  <c r="K27" i="2"/>
  <c r="K16" i="2"/>
  <c r="K17" i="2"/>
  <c r="K10" i="2"/>
</calcChain>
</file>

<file path=xl/comments1.xml><?xml version="1.0" encoding="utf-8"?>
<comments xmlns="http://schemas.openxmlformats.org/spreadsheetml/2006/main">
  <authors>
    <author>tc={007C00F0-0008-4455-BD85-007200EF000D}</author>
    <author>tc={4C53CFA2-9F38-21F1-2AD4-C9F6464B58FC}</author>
    <author>tc={00F20011-0054-443B-86EE-0090000000C1}</author>
    <author>tc={005B008E-0078-430D-8E26-00AA0096005E}</author>
  </authors>
  <commentList>
    <comment ref="A3" authorId="0" shapeId="0">
      <text>
        <r>
          <rPr>
            <b/>
            <sz val="9"/>
            <rFont val="Tahoma"/>
          </rPr>
          <t>Cheese:</t>
        </r>
        <r>
          <rPr>
            <sz val="9"/>
            <rFont val="Tahoma"/>
          </rPr>
          <t xml:space="preserve">
spot drill: use target hole diameter instead of drill diameter
</t>
        </r>
      </text>
    </comment>
    <comment ref="D3" authorId="1" shapeId="0">
      <text>
        <r>
          <rPr>
            <b/>
            <sz val="9"/>
            <rFont val="Tahoma"/>
          </rPr>
          <t>cheese:</t>
        </r>
        <r>
          <rPr>
            <sz val="9"/>
            <rFont val="Tahoma"/>
          </rPr>
          <t xml:space="preserve">
stop here for countersinking and spot drilling
</t>
        </r>
      </text>
    </comment>
    <comment ref="A6" authorId="2" shapeId="0">
      <text>
        <r>
          <rPr>
            <b/>
            <sz val="9"/>
            <rFont val="Tahoma"/>
          </rPr>
          <t>Cheese:</t>
        </r>
        <r>
          <rPr>
            <sz val="9"/>
            <rFont val="Tahoma"/>
          </rPr>
          <t xml:space="preserve">
must be negative or 0
</t>
        </r>
      </text>
    </comment>
    <comment ref="A9" authorId="3" shapeId="0">
      <text>
        <r>
          <rPr>
            <b/>
            <sz val="9"/>
            <rFont val="Tahoma"/>
          </rPr>
          <t>Cheese:</t>
        </r>
        <r>
          <rPr>
            <sz val="9"/>
            <rFont val="Tahoma"/>
          </rPr>
          <t xml:space="preserve">
must be negative or 0
</t>
        </r>
      </text>
    </comment>
  </commentList>
</comments>
</file>

<file path=xl/comments2.xml><?xml version="1.0" encoding="utf-8"?>
<comments xmlns="http://schemas.openxmlformats.org/spreadsheetml/2006/main">
  <authors>
    <author>tc={4E44B039-50C6-441F-CE18-349881DA8CE8}</author>
    <author>tc={2949BAE7-B2BA-A1A5-C036-ADF2FB0C6290}</author>
    <author>tc={00D50009-0044-4A24-B2D0-00D30069001A}</author>
    <author>tc={00EA0055-0095-4129-B875-002800B30067}</author>
  </authors>
  <commentList>
    <comment ref="A3" authorId="0" shapeId="0">
      <text>
        <r>
          <rPr>
            <b/>
            <sz val="9"/>
            <rFont val="Tahoma"/>
          </rPr>
          <t>Cheese:</t>
        </r>
        <r>
          <rPr>
            <sz val="9"/>
            <rFont val="Tahoma"/>
          </rPr>
          <t xml:space="preserve">
spot drill: use target hole diameter instead of drill diameter
</t>
        </r>
      </text>
    </comment>
    <comment ref="D3" authorId="1" shapeId="0">
      <text>
        <r>
          <rPr>
            <b/>
            <sz val="9"/>
            <rFont val="Tahoma"/>
          </rPr>
          <t>cheese:</t>
        </r>
        <r>
          <rPr>
            <sz val="9"/>
            <rFont val="Tahoma"/>
          </rPr>
          <t xml:space="preserve">
stop here for countersinking and spot drilling
</t>
        </r>
      </text>
    </comment>
    <comment ref="A6" authorId="2" shapeId="0">
      <text>
        <r>
          <rPr>
            <b/>
            <sz val="9"/>
            <rFont val="Tahoma"/>
          </rPr>
          <t>Cheese:</t>
        </r>
        <r>
          <rPr>
            <sz val="9"/>
            <rFont val="Tahoma"/>
          </rPr>
          <t xml:space="preserve">
must be negative or 0
</t>
        </r>
      </text>
    </comment>
    <comment ref="A9" authorId="3" shapeId="0">
      <text>
        <r>
          <rPr>
            <b/>
            <sz val="9"/>
            <rFont val="Tahoma"/>
          </rPr>
          <t>Cheese:</t>
        </r>
        <r>
          <rPr>
            <sz val="9"/>
            <rFont val="Tahoma"/>
          </rPr>
          <t xml:space="preserve">
must be negative or 0
</t>
        </r>
      </text>
    </comment>
  </commentList>
</comments>
</file>

<file path=xl/comments3.xml><?xml version="1.0" encoding="utf-8"?>
<comments xmlns="http://schemas.openxmlformats.org/spreadsheetml/2006/main">
  <authors>
    <author>tc={009800C4-00E5-4A3A-9CC8-00D400E50096}</author>
    <author>tc={000000E4-007A-4BE6-8CD3-00EC006E007B}</author>
    <author>tc={006200DD-00C4-48FB-8821-00BB00B700E4}</author>
  </authors>
  <commentList>
    <comment ref="B2" authorId="0" shapeId="0">
      <text>
        <r>
          <rPr>
            <b/>
            <sz val="9"/>
            <rFont val="Tahoma"/>
          </rPr>
          <t>Cheese:</t>
        </r>
        <r>
          <rPr>
            <sz val="9"/>
            <rFont val="Tahoma"/>
          </rPr>
          <t xml:space="preserve">
must be negative or 0
</t>
        </r>
      </text>
    </comment>
    <comment ref="C5" authorId="1" shapeId="0">
      <text>
        <r>
          <rPr>
            <b/>
            <sz val="9"/>
            <rFont val="Tahoma"/>
          </rPr>
          <t>Cheese:</t>
        </r>
        <r>
          <rPr>
            <sz val="9"/>
            <rFont val="Tahoma"/>
          </rPr>
          <t xml:space="preserve">
must be negative or 0
</t>
        </r>
      </text>
    </comment>
    <comment ref="E5" authorId="2" shapeId="0">
      <text>
        <r>
          <rPr>
            <b/>
            <sz val="9"/>
            <rFont val="Tahoma"/>
          </rPr>
          <t>Cheese:</t>
        </r>
        <r>
          <rPr>
            <sz val="9"/>
            <rFont val="Tahoma"/>
          </rPr>
          <t xml:space="preserve">
thread quantity / 1in = pitch ratio / chamfer length
</t>
        </r>
      </text>
    </comment>
  </commentList>
</comments>
</file>

<file path=xl/comments4.xml><?xml version="1.0" encoding="utf-8"?>
<comments xmlns="http://schemas.openxmlformats.org/spreadsheetml/2006/main">
  <authors>
    <author>tc={0031008A-0018-449B-8008-00C300060077}</author>
  </authors>
  <commentList>
    <comment ref="A1" authorId="0" shapeId="0">
      <text>
        <r>
          <rPr>
            <b/>
            <sz val="9"/>
            <rFont val="Tahoma"/>
          </rPr>
          <t>Cheese:</t>
        </r>
        <r>
          <rPr>
            <sz val="9"/>
            <rFont val="Tahoma"/>
          </rPr>
          <t xml:space="preserve">
must be &lt;= 0
</t>
        </r>
      </text>
    </comment>
  </commentList>
</comments>
</file>

<file path=xl/sharedStrings.xml><?xml version="1.0" encoding="utf-8"?>
<sst xmlns="http://schemas.openxmlformats.org/spreadsheetml/2006/main" count="62" uniqueCount="35">
  <si>
    <t>Diameter (in)</t>
  </si>
  <si>
    <t>Drill Depth (in)</t>
  </si>
  <si>
    <t>Angle (degrees)</t>
  </si>
  <si>
    <t>Factor</t>
  </si>
  <si>
    <t>Tip Depth (in)</t>
  </si>
  <si>
    <t>Total Depth (in)</t>
  </si>
  <si>
    <t>Peck (Q)</t>
  </si>
  <si>
    <t>Blind Hole</t>
  </si>
  <si>
    <t>Through Hole</t>
  </si>
  <si>
    <t>Blind Hole Depth (in)</t>
  </si>
  <si>
    <t>Through Hole Depth (in)</t>
  </si>
  <si>
    <t>Estimated Drill Increment (in)</t>
  </si>
  <si>
    <t>Quantity</t>
  </si>
  <si>
    <t>Drill Increment (in)</t>
  </si>
  <si>
    <t>Break Through (in)</t>
  </si>
  <si>
    <t>Peck Quantity</t>
  </si>
  <si>
    <t>Retraction Plane (in)</t>
  </si>
  <si>
    <t>angle (degrees)</t>
  </si>
  <si>
    <t>Percent Error</t>
  </si>
  <si>
    <t>Tap</t>
  </si>
  <si>
    <t>Threads per Inch</t>
  </si>
  <si>
    <t>Hole Depth (in)</t>
  </si>
  <si>
    <t>Extra Threads</t>
  </si>
  <si>
    <t>Total Distance (in)</t>
  </si>
  <si>
    <t>Pitch Ratio</t>
  </si>
  <si>
    <t>Chamfer Length (in)</t>
  </si>
  <si>
    <t>Blind Hole (in)</t>
  </si>
  <si>
    <t>Through Hole (in)</t>
  </si>
  <si>
    <t>Depth (in)</t>
  </si>
  <si>
    <t>Countersink Diameter (in)</t>
  </si>
  <si>
    <t>Δ Diameter</t>
  </si>
  <si>
    <t>Hole Diameter (in)</t>
  </si>
  <si>
    <t>Tool Angle (degrees)</t>
  </si>
  <si>
    <t>Left Cutter Compensation Amount (in)</t>
  </si>
  <si>
    <t>Tap Depth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</si>
</sst>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0.000"/>
    <numFmt numFmtId="166" formatCode="0.0000%"/>
    <numFmt numFmtId="167" formatCode="0.0000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9"/>
      <name val="Tahoma"/>
    </font>
    <font>
      <sz val="9"/>
      <name val="Tahoma"/>
    </font>
  </fonts>
  <fills count="1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1"/>
        <bgColor theme="1"/>
      </patternFill>
    </fill>
    <fill>
      <gradientFill type="path">
        <stop position="0">
          <color theme="9" tint="0.79998168889431442"/>
        </stop>
        <stop position="1">
          <color theme="7" tint="0.79998168889431442"/>
        </stop>
      </gradientFill>
    </fill>
    <fill>
      <patternFill patternType="solid">
        <fgColor theme="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gradientFill type="path">
        <stop position="0">
          <color theme="9" tint="0.80001220740379042"/>
        </stop>
        <stop position="1">
          <color theme="7" tint="0.80001220740379042"/>
        </stop>
      </gradientFill>
    </fill>
    <fill>
      <patternFill patternType="solid">
        <fgColor indexed="5"/>
      </patternFill>
    </fill>
  </fills>
  <borders count="8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/>
      <top style="thin">
        <color rgb="FFD4D4D4"/>
      </top>
      <bottom/>
      <diagonal/>
    </border>
    <border>
      <left/>
      <right style="thin">
        <color rgb="FFD4D4D4"/>
      </right>
      <top style="thin">
        <color rgb="FFD4D4D4"/>
      </top>
      <bottom/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  <border>
      <left style="thin">
        <color rgb="FFD4D4D4"/>
      </left>
      <right/>
      <top/>
      <bottom style="thin">
        <color rgb="FFD4D4D4"/>
      </bottom>
      <diagonal/>
    </border>
    <border>
      <left style="thin">
        <color rgb="FFD4D4D4"/>
      </left>
      <right/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Protection="1">
      <protection locked="0"/>
    </xf>
    <xf numFmtId="0" fontId="0" fillId="2" borderId="0" xfId="0" applyFill="1"/>
    <xf numFmtId="0" fontId="0" fillId="0" borderId="1" xfId="0" applyBorder="1" applyProtection="1">
      <protection locked="0"/>
    </xf>
    <xf numFmtId="0" fontId="0" fillId="0" borderId="1" xfId="0" applyBorder="1" applyProtection="1"/>
    <xf numFmtId="0" fontId="0" fillId="3" borderId="0" xfId="0" applyFill="1" applyProtection="1"/>
    <xf numFmtId="0" fontId="0" fillId="0" borderId="1" xfId="0" applyBorder="1" applyAlignment="1">
      <alignment horizontal="center"/>
    </xf>
    <xf numFmtId="0" fontId="0" fillId="3" borderId="0" xfId="0" applyFill="1"/>
    <xf numFmtId="0" fontId="0" fillId="5" borderId="0" xfId="0" applyFill="1" applyProtection="1"/>
    <xf numFmtId="0" fontId="0" fillId="5" borderId="0" xfId="0" applyFill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1" xfId="0" applyBorder="1"/>
    <xf numFmtId="0" fontId="1" fillId="0" borderId="5" xfId="0" applyFont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2" borderId="1" xfId="0" applyFill="1" applyBorder="1" applyProtection="1">
      <protection locked="0"/>
    </xf>
    <xf numFmtId="164" fontId="0" fillId="0" borderId="1" xfId="0" applyNumberFormat="1" applyBorder="1"/>
    <xf numFmtId="164" fontId="0" fillId="10" borderId="1" xfId="0" applyNumberFormat="1" applyFill="1" applyBorder="1"/>
    <xf numFmtId="164" fontId="0" fillId="11" borderId="1" xfId="0" applyNumberFormat="1" applyFill="1" applyBorder="1"/>
    <xf numFmtId="1" fontId="0" fillId="10" borderId="1" xfId="0" applyNumberFormat="1" applyFill="1" applyBorder="1"/>
    <xf numFmtId="1" fontId="0" fillId="11" borderId="1" xfId="0" applyNumberFormat="1" applyFill="1" applyBorder="1"/>
    <xf numFmtId="164" fontId="0" fillId="2" borderId="1" xfId="0" applyNumberFormat="1" applyFill="1" applyBorder="1" applyProtection="1">
      <protection locked="0"/>
    </xf>
    <xf numFmtId="0" fontId="1" fillId="0" borderId="6" xfId="0" applyFont="1" applyBorder="1" applyAlignment="1">
      <alignment horizontal="center"/>
    </xf>
    <xf numFmtId="164" fontId="0" fillId="0" borderId="1" xfId="0" applyNumberForma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</xf>
    <xf numFmtId="0" fontId="1" fillId="10" borderId="5" xfId="0" applyFont="1" applyFill="1" applyBorder="1" applyAlignment="1">
      <alignment horizontal="center"/>
    </xf>
    <xf numFmtId="165" fontId="0" fillId="10" borderId="1" xfId="0" applyNumberFormat="1" applyFill="1" applyBorder="1" applyAlignment="1">
      <alignment horizontal="right"/>
    </xf>
    <xf numFmtId="165" fontId="0" fillId="11" borderId="1" xfId="0" applyNumberFormat="1" applyFill="1" applyBorder="1" applyAlignment="1">
      <alignment horizontal="right"/>
    </xf>
    <xf numFmtId="0" fontId="1" fillId="0" borderId="6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1" fontId="0" fillId="2" borderId="1" xfId="0" applyNumberFormat="1" applyFill="1" applyBorder="1" applyProtection="1">
      <protection locked="0"/>
    </xf>
    <xf numFmtId="0" fontId="1" fillId="0" borderId="1" xfId="0" applyFont="1" applyBorder="1" applyProtection="1"/>
    <xf numFmtId="0" fontId="1" fillId="0" borderId="0" xfId="0" applyFont="1" applyAlignment="1" applyProtection="1">
      <alignment horizontal="center"/>
      <protection locked="0"/>
    </xf>
    <xf numFmtId="0" fontId="1" fillId="0" borderId="0" xfId="0" applyFont="1"/>
    <xf numFmtId="0" fontId="0" fillId="0" borderId="0" xfId="0" applyProtection="1">
      <protection locked="0"/>
    </xf>
    <xf numFmtId="166" fontId="0" fillId="0" borderId="0" xfId="0" applyNumberFormat="1"/>
    <xf numFmtId="0" fontId="1" fillId="0" borderId="0" xfId="0" applyFont="1" applyProtection="1"/>
    <xf numFmtId="0" fontId="1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1" fillId="0" borderId="0" xfId="0" applyFont="1" applyAlignment="1" applyProtection="1">
      <alignment horizontal="center" vertical="center"/>
    </xf>
    <xf numFmtId="164" fontId="0" fillId="0" borderId="0" xfId="0" applyNumberFormat="1" applyProtection="1">
      <protection locked="0"/>
    </xf>
    <xf numFmtId="0" fontId="0" fillId="0" borderId="0" xfId="0" applyProtection="1"/>
    <xf numFmtId="0" fontId="0" fillId="13" borderId="0" xfId="0" applyFill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/>
    </xf>
    <xf numFmtId="0" fontId="0" fillId="5" borderId="0" xfId="0" applyFill="1" applyAlignment="1" applyProtection="1">
      <alignment horizontal="center" vertical="center"/>
    </xf>
    <xf numFmtId="0" fontId="0" fillId="13" borderId="0" xfId="0" applyFill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</xf>
    <xf numFmtId="164" fontId="0" fillId="13" borderId="0" xfId="0" applyNumberFormat="1" applyFill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 vertical="center"/>
    </xf>
    <xf numFmtId="0" fontId="1" fillId="4" borderId="2" xfId="0" applyFont="1" applyFill="1" applyBorder="1" applyAlignment="1" applyProtection="1">
      <alignment horizontal="center"/>
    </xf>
    <xf numFmtId="0" fontId="1" fillId="4" borderId="3" xfId="0" applyFont="1" applyFill="1" applyBorder="1" applyAlignment="1" applyProtection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12" borderId="7" xfId="0" applyFont="1" applyFill="1" applyBorder="1" applyAlignment="1" applyProtection="1">
      <alignment horizontal="center"/>
    </xf>
    <xf numFmtId="0" fontId="1" fillId="12" borderId="4" xfId="0" applyFont="1" applyFill="1" applyBorder="1" applyAlignment="1" applyProtection="1">
      <alignment horizontal="center"/>
    </xf>
    <xf numFmtId="0" fontId="1" fillId="12" borderId="7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0" borderId="0" xfId="0" applyFont="1" applyAlignment="1" applyProtection="1">
      <alignment horizontal="center"/>
    </xf>
  </cellXfs>
  <cellStyles count="1">
    <cellStyle name="Normal" xfId="0" builtinId="0"/>
  </cellStyles>
  <dxfs count="28"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rgb="FFFFF2CB"/>
          <bgColor rgb="FFFFF2CB"/>
        </patternFill>
      </fill>
    </dxf>
    <dxf>
      <fill>
        <patternFill patternType="solid">
          <fgColor rgb="FFFFE597"/>
          <bgColor rgb="FFFFE59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2"/>
          <bgColor rgb="FFC5E0B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59996337778862885"/>
          <bgColor theme="7" tint="0.59996337778862885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59996337778862885"/>
          <bgColor theme="9" tint="0.59996337778862885"/>
        </patternFill>
      </fill>
    </dxf>
    <dxf>
      <fill>
        <patternFill patternType="solid">
          <fgColor theme="7" tint="0.59996337778862885"/>
          <bgColor theme="7" tint="0.59996337778862885"/>
        </patternFill>
      </fill>
    </dxf>
    <dxf>
      <fill>
        <patternFill patternType="solid">
          <fgColor theme="7" tint="0.59996337778862885"/>
          <bgColor theme="7" tint="0.59996337778862885"/>
        </patternFill>
      </fill>
    </dxf>
    <dxf>
      <fill>
        <patternFill patternType="solid">
          <fgColor theme="9" tint="0.59996337778862885"/>
          <bgColor theme="9" tint="0.59996337778862885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rgb="FFFFE597"/>
          <bgColor rgb="FFFFE597"/>
        </patternFill>
      </fill>
    </dxf>
    <dxf>
      <fill>
        <patternFill patternType="solid">
          <fgColor rgb="FFFFF2CB"/>
          <bgColor rgb="FFFFF2CB"/>
        </patternFill>
      </fill>
    </dxf>
    <dxf>
      <fill>
        <patternFill patternType="solid">
          <fgColor rgb="FFC5E0B2"/>
          <bgColor rgb="FFC5E0B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59996337778862885"/>
          <bgColor theme="7" tint="0.59996337778862885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59996337778862885"/>
          <bgColor theme="9" tint="0.59996337778862885"/>
        </patternFill>
      </fill>
    </dxf>
    <dxf>
      <fill>
        <patternFill patternType="solid">
          <fgColor theme="7" tint="0.59996337778862885"/>
          <bgColor theme="7" tint="0.59996337778862885"/>
        </patternFill>
      </fill>
    </dxf>
    <dxf>
      <fill>
        <patternFill patternType="solid">
          <fgColor theme="7" tint="0.59996337778862885"/>
          <bgColor theme="7" tint="0.59996337778862885"/>
        </patternFill>
      </fill>
    </dxf>
    <dxf>
      <fill>
        <patternFill patternType="solid">
          <fgColor theme="9" tint="0.59996337778862885"/>
          <bgColor theme="9" tint="0.59996337778862885"/>
        </patternFill>
      </fill>
    </dxf>
    <dxf>
      <fill>
        <patternFill patternType="solid">
          <fgColor theme="9" tint="0.59996337778862885"/>
          <bgColor theme="9" tint="0.59996337778862885"/>
        </patternFill>
      </fill>
    </dxf>
    <dxf>
      <fill>
        <patternFill patternType="solid">
          <fgColor indexed="2"/>
          <bgColor indexed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eese" id="{414614D1-BC2A-CC52-CA4B-52AD724D6426}"/>
  <person displayName="cheese" id="{D481183E-D21C-98C7-849A-7C02EE667420}" userId="cheese" providerId="Teamlab"/>
</personList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personId="{414614D1-BC2A-CC52-CA4B-52AD724D6426}" id="{007C00F0-0008-4455-BD85-007200EF000D}" done="0">
    <text xml:space="preserve">spot drill: use target hole diameter instead of drill diameter
</text>
  </threadedComment>
  <threadedComment ref="D3" dT="2025-10-10T13:34:30.26Z" personId="{D481183E-D21C-98C7-849A-7C02EE667420}" id="{4C53CFA2-9F38-21F1-2AD4-C9F6464B58FC}" done="0">
    <text xml:space="preserve">stop here for countersinking and spot drilling
</text>
  </threadedComment>
  <threadedComment ref="A6" personId="{414614D1-BC2A-CC52-CA4B-52AD724D6426}" id="{00F20011-0054-443B-86EE-0090000000C1}" done="0">
    <text xml:space="preserve">must be negative or 0
</text>
  </threadedComment>
  <threadedComment ref="A9" personId="{414614D1-BC2A-CC52-CA4B-52AD724D6426}" id="{005B008E-0078-430D-8E26-00AA0096005E}" done="0">
    <text xml:space="preserve">must be negative or 0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personId="{414614D1-BC2A-CC52-CA4B-52AD724D6426}" id="{4E44B039-50C6-441F-CE18-349881DA8CE8}" done="0">
    <text xml:space="preserve">spot drill: use target hole diameter instead of drill diameter
</text>
  </threadedComment>
  <threadedComment ref="D3" dT="2025-10-10T13:34:30.26Z" personId="{D481183E-D21C-98C7-849A-7C02EE667420}" id="{2949BAE7-B2BA-A1A5-C036-ADF2FB0C6290}" done="0">
    <text xml:space="preserve">stop here for countersinking and spot drilling
</text>
  </threadedComment>
  <threadedComment ref="A6" personId="{414614D1-BC2A-CC52-CA4B-52AD724D6426}" id="{00D50009-0044-4A24-B2D0-00D30069001A}" done="0">
    <text xml:space="preserve">must be negative or 0
</text>
  </threadedComment>
  <threadedComment ref="A9" personId="{414614D1-BC2A-CC52-CA4B-52AD724D6426}" id="{00EA0055-0095-4129-B875-002800B30067}" done="0">
    <text xml:space="preserve">must be negative or 0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personId="{414614D1-BC2A-CC52-CA4B-52AD724D6426}" id="{009800C4-00E5-4A3A-9CC8-00D400E50096}" done="0">
    <text xml:space="preserve">must be negative or 0
</text>
  </threadedComment>
  <threadedComment ref="C5" personId="{414614D1-BC2A-CC52-CA4B-52AD724D6426}" id="{000000E4-007A-4BE6-8CD3-00EC006E007B}" done="0">
    <text xml:space="preserve">must be negative or 0
</text>
  </threadedComment>
  <threadedComment ref="E5" personId="{414614D1-BC2A-CC52-CA4B-52AD724D6426}" id="{006200DD-00C4-48FB-8821-00BB00B700E4}" done="0">
    <text xml:space="preserve">thread quantity / 1in = pitch ratio / chamfer length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personId="{414614D1-BC2A-CC52-CA4B-52AD724D6426}" id="{0031008A-0018-449B-8008-00C300060077}" done="0">
    <text xml:space="preserve">must be &lt;= 0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"/>
  <sheetViews>
    <sheetView workbookViewId="0"/>
  </sheetViews>
  <sheetFormatPr defaultColWidth="9.109375" defaultRowHeight="14.4" x14ac:dyDescent="0.3"/>
  <cols>
    <col min="1" max="1" width="12.21875" style="1" bestFit="1"/>
    <col min="2" max="2" width="13.5546875" style="1" bestFit="1"/>
    <col min="3" max="3" width="14.21875" style="1" bestFit="1"/>
    <col min="4" max="4" width="9.109375" style="1" customWidth="1"/>
    <col min="5" max="5" width="12.21875" style="1" bestFit="1"/>
    <col min="6" max="6" width="14" style="1" bestFit="1"/>
    <col min="7" max="16384" width="9.109375" style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0.25</v>
      </c>
      <c r="B2" s="3">
        <v>0.375</v>
      </c>
      <c r="C2" s="1">
        <v>60</v>
      </c>
      <c r="D2" s="1">
        <v>0.86599999999999999</v>
      </c>
      <c r="E2" s="1">
        <f t="shared" ref="E2:E7" si="0">$A$2 * D2</f>
        <v>0.2165</v>
      </c>
      <c r="F2" s="4">
        <f t="shared" ref="F2:F7" si="1">$B$2 + E2</f>
        <v>0.59150000000000003</v>
      </c>
    </row>
    <row r="3" spans="1:6" x14ac:dyDescent="0.3">
      <c r="C3" s="1">
        <v>82</v>
      </c>
      <c r="D3" s="1">
        <v>0.57499999999999996</v>
      </c>
      <c r="E3" s="1">
        <f t="shared" si="0"/>
        <v>0.14374999999999999</v>
      </c>
      <c r="F3" s="4">
        <f t="shared" si="1"/>
        <v>0.51875000000000004</v>
      </c>
    </row>
    <row r="4" spans="1:6" x14ac:dyDescent="0.3">
      <c r="C4" s="1">
        <v>90</v>
      </c>
      <c r="D4" s="1">
        <v>0.5</v>
      </c>
      <c r="E4" s="1">
        <f t="shared" si="0"/>
        <v>0.125</v>
      </c>
      <c r="F4" s="4">
        <f t="shared" si="1"/>
        <v>0.5</v>
      </c>
    </row>
    <row r="5" spans="1:6" x14ac:dyDescent="0.3">
      <c r="C5" s="1">
        <v>118</v>
      </c>
      <c r="D5" s="1">
        <v>0.3</v>
      </c>
      <c r="E5" s="1">
        <f t="shared" si="0"/>
        <v>7.4999999999999997E-2</v>
      </c>
      <c r="F5" s="4">
        <f t="shared" si="1"/>
        <v>0.45</v>
      </c>
    </row>
    <row r="6" spans="1:6" x14ac:dyDescent="0.3">
      <c r="C6" s="1">
        <v>120</v>
      </c>
      <c r="D6" s="1">
        <v>0.28799999999999998</v>
      </c>
      <c r="E6" s="1">
        <f t="shared" si="0"/>
        <v>7.1999999999999995E-2</v>
      </c>
      <c r="F6" s="4">
        <f t="shared" si="1"/>
        <v>0.44700000000000001</v>
      </c>
    </row>
    <row r="7" spans="1:6" x14ac:dyDescent="0.3">
      <c r="C7" s="1">
        <v>135</v>
      </c>
      <c r="D7" s="1">
        <v>0.20699999999999999</v>
      </c>
      <c r="E7" s="1">
        <f t="shared" si="0"/>
        <v>5.1749999999999997E-2</v>
      </c>
      <c r="F7" s="4">
        <f t="shared" si="1"/>
        <v>0.42675000000000002</v>
      </c>
    </row>
  </sheetData>
  <sheetProtection sheet="1" objects="1" scenarios="1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K28"/>
  <sheetViews>
    <sheetView workbookViewId="0">
      <pane xSplit="2" topLeftCell="C1" activePane="topRight" state="frozen"/>
      <selection activeCell="A14" sqref="A14"/>
      <selection pane="topRight"/>
    </sheetView>
  </sheetViews>
  <sheetFormatPr defaultColWidth="9.109375" defaultRowHeight="14.4" x14ac:dyDescent="0.3"/>
  <cols>
    <col min="1" max="1" width="17.21875" style="5" bestFit="1"/>
    <col min="2" max="2" width="14.44140625" style="5" bestFit="1"/>
    <col min="3" max="3" width="11.5546875" style="5" bestFit="1"/>
    <col min="4" max="4" width="12.77734375" style="5" bestFit="1"/>
    <col min="5" max="5" width="19.21875" style="5" bestFit="1"/>
    <col min="6" max="6" width="22.109375" style="5" bestFit="1" customWidth="1"/>
    <col min="7" max="7" width="26.77734375" style="5" bestFit="1" customWidth="1"/>
    <col min="8" max="8" width="9.109375" style="5" customWidth="1"/>
    <col min="9" max="9" width="17.6640625" style="5" bestFit="1" customWidth="1"/>
    <col min="10" max="10" width="9.109375" style="5" customWidth="1"/>
    <col min="11" max="11" width="17.6640625" style="5" bestFit="1" customWidth="1"/>
    <col min="12" max="16384" width="9.109375" style="5"/>
  </cols>
  <sheetData>
    <row r="1" spans="1:11" s="6" customFormat="1" x14ac:dyDescent="0.3">
      <c r="A1" s="7"/>
      <c r="B1" s="7"/>
      <c r="C1" s="7"/>
      <c r="D1" s="7"/>
      <c r="E1" s="7"/>
      <c r="F1" s="7"/>
      <c r="G1" s="58" t="s">
        <v>6</v>
      </c>
      <c r="H1" s="58"/>
      <c r="I1" s="58"/>
      <c r="J1" s="58"/>
      <c r="K1" s="59"/>
    </row>
    <row r="2" spans="1:11" s="8" customFormat="1" x14ac:dyDescent="0.3">
      <c r="A2" s="9"/>
      <c r="B2" s="10"/>
      <c r="C2" s="10"/>
      <c r="D2" s="10"/>
      <c r="E2" s="10"/>
      <c r="F2" s="10"/>
      <c r="G2" s="11"/>
      <c r="H2" s="60" t="s">
        <v>7</v>
      </c>
      <c r="I2" s="61"/>
      <c r="J2" s="62" t="s">
        <v>8</v>
      </c>
      <c r="K2" s="62"/>
    </row>
    <row r="3" spans="1:11" s="14" customFormat="1" x14ac:dyDescent="0.3">
      <c r="A3" s="15" t="s">
        <v>0</v>
      </c>
      <c r="B3" s="15" t="s">
        <v>2</v>
      </c>
      <c r="C3" s="15" t="s">
        <v>3</v>
      </c>
      <c r="D3" s="15" t="s">
        <v>4</v>
      </c>
      <c r="E3" s="16" t="s">
        <v>9</v>
      </c>
      <c r="F3" s="17" t="s">
        <v>10</v>
      </c>
      <c r="G3" s="15" t="s">
        <v>11</v>
      </c>
      <c r="H3" s="18" t="s">
        <v>12</v>
      </c>
      <c r="I3" s="18" t="s">
        <v>13</v>
      </c>
      <c r="J3" s="19" t="s">
        <v>12</v>
      </c>
      <c r="K3" s="19" t="s">
        <v>13</v>
      </c>
    </row>
    <row r="4" spans="1:11" s="14" customFormat="1" x14ac:dyDescent="0.3">
      <c r="A4" s="20">
        <f>Sheet3!A4</f>
        <v>0.14949999999999999</v>
      </c>
      <c r="B4" s="14">
        <v>30</v>
      </c>
      <c r="C4" s="14">
        <f t="shared" ref="C4:C9" si="0">1 / (2 * TAN(RADIANS(B4 / 2)))</f>
        <v>1.8660254037844388</v>
      </c>
      <c r="D4" s="21">
        <f t="shared" ref="D4:D9" si="1">$A$4 * C4 * -1</f>
        <v>-0.27897079786577361</v>
      </c>
      <c r="E4" s="22">
        <f t="shared" ref="E4:E9" si="2">$A$7 + D4</f>
        <v>-0.60300833407838472</v>
      </c>
      <c r="F4" s="23">
        <f t="shared" ref="F4:F9" si="3">E4 + $A$10</f>
        <v>-0.62300833407838474</v>
      </c>
      <c r="G4" s="21">
        <f>A4 / 2 * -1</f>
        <v>-7.4749999999999997E-2</v>
      </c>
      <c r="H4" s="24">
        <f t="shared" ref="H4:H9" si="4">ROUNDUP(E4 / $G$4, 0)</f>
        <v>9</v>
      </c>
      <c r="I4" s="22">
        <f t="shared" ref="I4:I9" si="5">E4 / $H$4</f>
        <v>-6.7000926008709411E-2</v>
      </c>
      <c r="J4" s="25">
        <f t="shared" ref="J4:J9" si="6">ROUNDUP(F4 / $G$4, 0)</f>
        <v>9</v>
      </c>
      <c r="K4" s="23">
        <f t="shared" ref="K4:K9" si="7">F4 / $J$4</f>
        <v>-6.9223148230931633E-2</v>
      </c>
    </row>
    <row r="5" spans="1:11" s="14" customFormat="1" x14ac:dyDescent="0.3">
      <c r="A5" s="5"/>
      <c r="B5" s="14">
        <v>45</v>
      </c>
      <c r="C5" s="14">
        <f t="shared" si="0"/>
        <v>1.2071067811865475</v>
      </c>
      <c r="D5" s="21">
        <f t="shared" si="1"/>
        <v>-0.18046246378738884</v>
      </c>
      <c r="E5" s="22">
        <f t="shared" si="2"/>
        <v>-0.50449999999999995</v>
      </c>
      <c r="F5" s="23">
        <f t="shared" si="3"/>
        <v>-0.52449999999999997</v>
      </c>
      <c r="H5" s="24">
        <f t="shared" si="4"/>
        <v>7</v>
      </c>
      <c r="I5" s="22">
        <f t="shared" si="5"/>
        <v>-5.6055555555555553E-2</v>
      </c>
      <c r="J5" s="25">
        <f t="shared" si="6"/>
        <v>8</v>
      </c>
      <c r="K5" s="23">
        <f t="shared" si="7"/>
        <v>-5.8277777777777776E-2</v>
      </c>
    </row>
    <row r="6" spans="1:11" s="14" customFormat="1" x14ac:dyDescent="0.3">
      <c r="A6" s="15" t="s">
        <v>1</v>
      </c>
      <c r="B6" s="14">
        <v>60</v>
      </c>
      <c r="C6" s="14">
        <f t="shared" si="0"/>
        <v>0.86602540378443871</v>
      </c>
      <c r="D6" s="21">
        <f t="shared" si="1"/>
        <v>-0.12947079786577359</v>
      </c>
      <c r="E6" s="22">
        <f t="shared" si="2"/>
        <v>-0.4535083340783847</v>
      </c>
      <c r="F6" s="23">
        <f t="shared" si="3"/>
        <v>-0.47350833407838472</v>
      </c>
      <c r="H6" s="24">
        <f t="shared" si="4"/>
        <v>7</v>
      </c>
      <c r="I6" s="22">
        <f t="shared" si="5"/>
        <v>-5.0389814897598299E-2</v>
      </c>
      <c r="J6" s="25">
        <f t="shared" si="6"/>
        <v>7</v>
      </c>
      <c r="K6" s="23">
        <f t="shared" si="7"/>
        <v>-5.2612037119820522E-2</v>
      </c>
    </row>
    <row r="7" spans="1:11" s="14" customFormat="1" x14ac:dyDescent="0.3">
      <c r="A7" s="26">
        <f>Sheet3!A7</f>
        <v>-0.32403753621261111</v>
      </c>
      <c r="B7" s="14">
        <v>82</v>
      </c>
      <c r="C7" s="14">
        <f t="shared" si="0"/>
        <v>0.57518420361050482</v>
      </c>
      <c r="D7" s="21">
        <f t="shared" si="1"/>
        <v>-8.5990038439770461E-2</v>
      </c>
      <c r="E7" s="22">
        <f t="shared" si="2"/>
        <v>-0.4100275746523816</v>
      </c>
      <c r="F7" s="23">
        <f t="shared" si="3"/>
        <v>-0.43002757465238162</v>
      </c>
      <c r="H7" s="24">
        <f t="shared" si="4"/>
        <v>6</v>
      </c>
      <c r="I7" s="22">
        <f t="shared" si="5"/>
        <v>-4.5558619405820178E-2</v>
      </c>
      <c r="J7" s="25">
        <f t="shared" si="6"/>
        <v>6</v>
      </c>
      <c r="K7" s="23">
        <f t="shared" si="7"/>
        <v>-4.77808416280424E-2</v>
      </c>
    </row>
    <row r="8" spans="1:11" s="14" customFormat="1" x14ac:dyDescent="0.3">
      <c r="A8" s="5"/>
      <c r="B8" s="14">
        <v>85</v>
      </c>
      <c r="C8" s="14">
        <f t="shared" si="0"/>
        <v>0.54565425053463568</v>
      </c>
      <c r="D8" s="21">
        <f t="shared" si="1"/>
        <v>-8.1575310454928024E-2</v>
      </c>
      <c r="E8" s="22">
        <f t="shared" si="2"/>
        <v>-0.40561284666753916</v>
      </c>
      <c r="F8" s="23">
        <f t="shared" si="3"/>
        <v>-0.42561284666753918</v>
      </c>
      <c r="H8" s="24">
        <f t="shared" si="4"/>
        <v>6</v>
      </c>
      <c r="I8" s="22">
        <f t="shared" si="5"/>
        <v>-4.506809407417102E-2</v>
      </c>
      <c r="J8" s="25">
        <f t="shared" si="6"/>
        <v>6</v>
      </c>
      <c r="K8" s="23">
        <f t="shared" si="7"/>
        <v>-4.7290316296393242E-2</v>
      </c>
    </row>
    <row r="9" spans="1:11" s="6" customFormat="1" x14ac:dyDescent="0.3">
      <c r="A9" s="27" t="s">
        <v>14</v>
      </c>
      <c r="B9" s="6">
        <v>90</v>
      </c>
      <c r="C9" s="14">
        <f t="shared" si="0"/>
        <v>0.5</v>
      </c>
      <c r="D9" s="21">
        <f t="shared" si="1"/>
        <v>-7.4749999999999997E-2</v>
      </c>
      <c r="E9" s="22">
        <f t="shared" si="2"/>
        <v>-0.39878753621261109</v>
      </c>
      <c r="F9" s="23">
        <f t="shared" si="3"/>
        <v>-0.41878753621261111</v>
      </c>
      <c r="H9" s="24">
        <f t="shared" si="4"/>
        <v>6</v>
      </c>
      <c r="I9" s="22">
        <f t="shared" si="5"/>
        <v>-4.4309726245845678E-2</v>
      </c>
      <c r="J9" s="25">
        <f t="shared" si="6"/>
        <v>6</v>
      </c>
      <c r="K9" s="23">
        <f t="shared" si="7"/>
        <v>-4.65319484680679E-2</v>
      </c>
    </row>
    <row r="10" spans="1:11" s="6" customFormat="1" x14ac:dyDescent="0.3">
      <c r="A10" s="20">
        <v>-0.02</v>
      </c>
      <c r="B10" s="6">
        <v>100</v>
      </c>
      <c r="C10" s="14">
        <f t="shared" ref="C10:C27" si="8">1 / (2 * TAN(RADIANS(B10 / 2)))</f>
        <v>0.41954981558864002</v>
      </c>
      <c r="D10" s="21">
        <f t="shared" ref="D10:D27" si="9">$A$4 * C10 * -1</f>
        <v>-6.2722697430501684E-2</v>
      </c>
      <c r="E10" s="22">
        <f t="shared" ref="E10:E27" si="10">$A$7 + D10</f>
        <v>-0.38676023364311279</v>
      </c>
      <c r="F10" s="23">
        <f t="shared" ref="F10:F27" si="11">E10 + $A$10</f>
        <v>-0.40676023364311281</v>
      </c>
      <c r="H10" s="24">
        <f t="shared" ref="H10:H27" si="12">ROUNDUP(E10 / $G$4, 0)</f>
        <v>6</v>
      </c>
      <c r="I10" s="22">
        <f t="shared" ref="I10:I27" si="13">E10 / $H$4</f>
        <v>-4.2973359293679202E-2</v>
      </c>
      <c r="J10" s="25">
        <f t="shared" ref="J10:J27" si="14">ROUNDUP(F10 / $G$4, 0)</f>
        <v>6</v>
      </c>
      <c r="K10" s="23">
        <f t="shared" ref="K10:K27" si="15">F10 / $J$4</f>
        <v>-4.5195581515901424E-2</v>
      </c>
    </row>
    <row r="11" spans="1:11" s="6" customFormat="1" x14ac:dyDescent="0.3">
      <c r="A11" s="5"/>
      <c r="B11" s="6">
        <v>110</v>
      </c>
      <c r="C11" s="14">
        <f t="shared" si="8"/>
        <v>0.35010376910485491</v>
      </c>
      <c r="D11" s="21">
        <f t="shared" si="9"/>
        <v>-5.2340513481175806E-2</v>
      </c>
      <c r="E11" s="22">
        <f t="shared" si="10"/>
        <v>-0.37637804969378691</v>
      </c>
      <c r="F11" s="23">
        <f t="shared" si="11"/>
        <v>-0.39637804969378693</v>
      </c>
      <c r="H11" s="24">
        <f t="shared" si="12"/>
        <v>6</v>
      </c>
      <c r="I11" s="22">
        <f t="shared" si="13"/>
        <v>-4.181978329930966E-2</v>
      </c>
      <c r="J11" s="25">
        <f t="shared" si="14"/>
        <v>6</v>
      </c>
      <c r="K11" s="23">
        <f t="shared" si="15"/>
        <v>-4.4042005521531882E-2</v>
      </c>
    </row>
    <row r="12" spans="1:11" s="6" customFormat="1" x14ac:dyDescent="0.3">
      <c r="A12" s="5"/>
      <c r="B12" s="6">
        <v>118</v>
      </c>
      <c r="C12" s="14">
        <f t="shared" si="8"/>
        <v>0.30043030951378014</v>
      </c>
      <c r="D12" s="21">
        <f t="shared" si="9"/>
        <v>-4.4914331272310128E-2</v>
      </c>
      <c r="E12" s="22">
        <f t="shared" si="10"/>
        <v>-0.36895186748492126</v>
      </c>
      <c r="F12" s="23">
        <f t="shared" si="11"/>
        <v>-0.38895186748492128</v>
      </c>
      <c r="H12" s="24">
        <f t="shared" si="12"/>
        <v>5</v>
      </c>
      <c r="I12" s="22">
        <f t="shared" si="13"/>
        <v>-4.099465194276903E-2</v>
      </c>
      <c r="J12" s="25">
        <f t="shared" si="14"/>
        <v>6</v>
      </c>
      <c r="K12" s="23">
        <f t="shared" si="15"/>
        <v>-4.3216874164991252E-2</v>
      </c>
    </row>
    <row r="13" spans="1:11" s="6" customFormat="1" x14ac:dyDescent="0.3">
      <c r="A13" s="5"/>
      <c r="B13" s="6">
        <v>120</v>
      </c>
      <c r="C13" s="14">
        <f t="shared" si="8"/>
        <v>0.28867513459481298</v>
      </c>
      <c r="D13" s="21">
        <f t="shared" si="9"/>
        <v>-4.3156932621924542E-2</v>
      </c>
      <c r="E13" s="22">
        <f t="shared" si="10"/>
        <v>-0.36719446883453566</v>
      </c>
      <c r="F13" s="23">
        <f t="shared" si="11"/>
        <v>-0.38719446883453568</v>
      </c>
      <c r="H13" s="24">
        <f t="shared" si="12"/>
        <v>5</v>
      </c>
      <c r="I13" s="22">
        <f t="shared" si="13"/>
        <v>-4.0799385426059515E-2</v>
      </c>
      <c r="J13" s="25">
        <f t="shared" si="14"/>
        <v>6</v>
      </c>
      <c r="K13" s="23">
        <f t="shared" si="15"/>
        <v>-4.3021607648281744E-2</v>
      </c>
    </row>
    <row r="14" spans="1:11" s="6" customFormat="1" x14ac:dyDescent="0.3">
      <c r="A14" s="5"/>
      <c r="B14" s="6">
        <v>124</v>
      </c>
      <c r="C14" s="14">
        <f t="shared" si="8"/>
        <v>0.26585471583073939</v>
      </c>
      <c r="D14" s="21">
        <f t="shared" si="9"/>
        <v>-3.9745280016695535E-2</v>
      </c>
      <c r="E14" s="22">
        <f t="shared" si="10"/>
        <v>-0.36378281622930664</v>
      </c>
      <c r="F14" s="23">
        <f t="shared" si="11"/>
        <v>-0.38378281622930666</v>
      </c>
      <c r="H14" s="24">
        <f t="shared" si="12"/>
        <v>5</v>
      </c>
      <c r="I14" s="22">
        <f t="shared" si="13"/>
        <v>-4.0420312914367401E-2</v>
      </c>
      <c r="J14" s="25">
        <f t="shared" si="14"/>
        <v>6</v>
      </c>
      <c r="K14" s="23">
        <f t="shared" si="15"/>
        <v>-4.2642535136589631E-2</v>
      </c>
    </row>
    <row r="15" spans="1:11" s="6" customFormat="1" x14ac:dyDescent="0.3">
      <c r="A15" s="5"/>
      <c r="B15" s="6">
        <v>127</v>
      </c>
      <c r="C15" s="14">
        <f t="shared" si="8"/>
        <v>0.24929080402671572</v>
      </c>
      <c r="D15" s="21">
        <f t="shared" si="9"/>
        <v>-3.7268975201994001E-2</v>
      </c>
      <c r="E15" s="22">
        <f t="shared" si="10"/>
        <v>-0.36130651141460512</v>
      </c>
      <c r="F15" s="23">
        <f t="shared" si="11"/>
        <v>-0.38130651141460514</v>
      </c>
      <c r="H15" s="24">
        <f t="shared" si="12"/>
        <v>5</v>
      </c>
      <c r="I15" s="22">
        <f t="shared" si="13"/>
        <v>-4.0145167934956122E-2</v>
      </c>
      <c r="J15" s="25">
        <f t="shared" si="14"/>
        <v>6</v>
      </c>
      <c r="K15" s="23">
        <f t="shared" si="15"/>
        <v>-4.2367390157178351E-2</v>
      </c>
    </row>
    <row r="16" spans="1:11" s="6" customFormat="1" x14ac:dyDescent="0.3">
      <c r="A16" s="5"/>
      <c r="B16" s="6">
        <v>130</v>
      </c>
      <c r="C16" s="14">
        <f t="shared" si="8"/>
        <v>0.23315382907749929</v>
      </c>
      <c r="D16" s="21">
        <f t="shared" si="9"/>
        <v>-3.4856497447086146E-2</v>
      </c>
      <c r="E16" s="22">
        <f t="shared" si="10"/>
        <v>-0.35889403365969724</v>
      </c>
      <c r="F16" s="23">
        <f t="shared" si="11"/>
        <v>-0.37889403365969726</v>
      </c>
      <c r="H16" s="24">
        <f t="shared" si="12"/>
        <v>5</v>
      </c>
      <c r="I16" s="22">
        <f t="shared" si="13"/>
        <v>-3.9877114851077471E-2</v>
      </c>
      <c r="J16" s="25">
        <f t="shared" si="14"/>
        <v>6</v>
      </c>
      <c r="K16" s="23">
        <f t="shared" si="15"/>
        <v>-4.2099337073299693E-2</v>
      </c>
    </row>
    <row r="17" spans="1:11" s="6" customFormat="1" x14ac:dyDescent="0.3">
      <c r="A17" s="5"/>
      <c r="B17" s="6">
        <v>132</v>
      </c>
      <c r="C17" s="14">
        <f t="shared" si="8"/>
        <v>0.22261434265426805</v>
      </c>
      <c r="D17" s="21">
        <f t="shared" si="9"/>
        <v>-3.3280844226813072E-2</v>
      </c>
      <c r="E17" s="22">
        <f t="shared" si="10"/>
        <v>-0.35731838043942421</v>
      </c>
      <c r="F17" s="23">
        <f t="shared" si="11"/>
        <v>-0.37731838043942423</v>
      </c>
      <c r="H17" s="24">
        <f t="shared" si="12"/>
        <v>5</v>
      </c>
      <c r="I17" s="22">
        <f t="shared" si="13"/>
        <v>-3.9702042271047136E-2</v>
      </c>
      <c r="J17" s="25">
        <f t="shared" si="14"/>
        <v>6</v>
      </c>
      <c r="K17" s="23">
        <f t="shared" si="15"/>
        <v>-4.1924264493269359E-2</v>
      </c>
    </row>
    <row r="18" spans="1:11" s="6" customFormat="1" x14ac:dyDescent="0.3">
      <c r="A18" s="5"/>
      <c r="B18" s="6">
        <v>135</v>
      </c>
      <c r="C18" s="14">
        <f t="shared" si="8"/>
        <v>0.20710678118654754</v>
      </c>
      <c r="D18" s="21">
        <f t="shared" si="9"/>
        <v>-3.0962463787388858E-2</v>
      </c>
      <c r="E18" s="22">
        <f t="shared" si="10"/>
        <v>-0.35499999999999998</v>
      </c>
      <c r="F18" s="23">
        <f t="shared" si="11"/>
        <v>-0.375</v>
      </c>
      <c r="H18" s="24">
        <f t="shared" si="12"/>
        <v>5</v>
      </c>
      <c r="I18" s="22">
        <f t="shared" si="13"/>
        <v>-3.9444444444444442E-2</v>
      </c>
      <c r="J18" s="25">
        <f t="shared" si="14"/>
        <v>6</v>
      </c>
      <c r="K18" s="23">
        <f t="shared" si="15"/>
        <v>-4.1666666666666664E-2</v>
      </c>
    </row>
    <row r="19" spans="1:11" s="6" customFormat="1" x14ac:dyDescent="0.3">
      <c r="A19" s="5"/>
      <c r="B19" s="6">
        <v>137</v>
      </c>
      <c r="C19" s="14">
        <f t="shared" si="8"/>
        <v>0.19695523780747121</v>
      </c>
      <c r="D19" s="21">
        <f t="shared" si="9"/>
        <v>-2.9444808052216945E-2</v>
      </c>
      <c r="E19" s="22">
        <f t="shared" si="10"/>
        <v>-0.35348234426482805</v>
      </c>
      <c r="F19" s="23">
        <f t="shared" si="11"/>
        <v>-0.37348234426482807</v>
      </c>
      <c r="H19" s="24">
        <f t="shared" si="12"/>
        <v>5</v>
      </c>
      <c r="I19" s="22">
        <f t="shared" si="13"/>
        <v>-3.9275816029425342E-2</v>
      </c>
      <c r="J19" s="25">
        <f t="shared" si="14"/>
        <v>5</v>
      </c>
      <c r="K19" s="23">
        <f t="shared" si="15"/>
        <v>-4.1498038251647565E-2</v>
      </c>
    </row>
    <row r="20" spans="1:11" s="6" customFormat="1" x14ac:dyDescent="0.3">
      <c r="A20" s="5"/>
      <c r="B20" s="6">
        <v>140</v>
      </c>
      <c r="C20" s="14">
        <f t="shared" si="8"/>
        <v>0.18198511713310123</v>
      </c>
      <c r="D20" s="21">
        <f t="shared" si="9"/>
        <v>-2.7206775011398631E-2</v>
      </c>
      <c r="E20" s="22">
        <f t="shared" si="10"/>
        <v>-0.35124431122400973</v>
      </c>
      <c r="F20" s="23">
        <f t="shared" si="11"/>
        <v>-0.37124431122400975</v>
      </c>
      <c r="H20" s="24">
        <f t="shared" si="12"/>
        <v>5</v>
      </c>
      <c r="I20" s="22">
        <f t="shared" si="13"/>
        <v>-3.9027145691556638E-2</v>
      </c>
      <c r="J20" s="25">
        <f t="shared" si="14"/>
        <v>5</v>
      </c>
      <c r="K20" s="23">
        <f t="shared" si="15"/>
        <v>-4.124936791377886E-2</v>
      </c>
    </row>
    <row r="21" spans="1:11" s="6" customFormat="1" x14ac:dyDescent="0.3">
      <c r="A21" s="5"/>
      <c r="B21" s="6">
        <v>141</v>
      </c>
      <c r="C21" s="14">
        <f t="shared" si="8"/>
        <v>0.177059286265349</v>
      </c>
      <c r="D21" s="21">
        <f t="shared" si="9"/>
        <v>-2.6470363296669675E-2</v>
      </c>
      <c r="E21" s="22">
        <f t="shared" si="10"/>
        <v>-0.3505078995092808</v>
      </c>
      <c r="F21" s="23">
        <f t="shared" si="11"/>
        <v>-0.37050789950928081</v>
      </c>
      <c r="H21" s="24">
        <f t="shared" si="12"/>
        <v>5</v>
      </c>
      <c r="I21" s="22">
        <f t="shared" si="13"/>
        <v>-3.8945322167697867E-2</v>
      </c>
      <c r="J21" s="25">
        <f t="shared" si="14"/>
        <v>5</v>
      </c>
      <c r="K21" s="23">
        <f t="shared" si="15"/>
        <v>-4.116754438992009E-2</v>
      </c>
    </row>
    <row r="22" spans="1:11" s="6" customFormat="1" x14ac:dyDescent="0.3">
      <c r="A22" s="5"/>
      <c r="B22" s="6">
        <v>142</v>
      </c>
      <c r="C22" s="14">
        <f t="shared" si="8"/>
        <v>0.17216380664483266</v>
      </c>
      <c r="D22" s="21">
        <f t="shared" si="9"/>
        <v>-2.5738489093402483E-2</v>
      </c>
      <c r="E22" s="22">
        <f t="shared" si="10"/>
        <v>-0.34977602530601359</v>
      </c>
      <c r="F22" s="23">
        <f t="shared" si="11"/>
        <v>-0.36977602530601361</v>
      </c>
      <c r="H22" s="24">
        <f t="shared" si="12"/>
        <v>5</v>
      </c>
      <c r="I22" s="22">
        <f t="shared" si="13"/>
        <v>-3.8864002811779291E-2</v>
      </c>
      <c r="J22" s="25">
        <f t="shared" si="14"/>
        <v>5</v>
      </c>
      <c r="K22" s="23">
        <f t="shared" si="15"/>
        <v>-4.1086225034001514E-2</v>
      </c>
    </row>
    <row r="23" spans="1:11" s="6" customFormat="1" x14ac:dyDescent="0.3">
      <c r="A23" s="5"/>
      <c r="B23" s="6">
        <v>143</v>
      </c>
      <c r="C23" s="14">
        <f t="shared" si="8"/>
        <v>0.16729765975103655</v>
      </c>
      <c r="D23" s="21">
        <f t="shared" si="9"/>
        <v>-2.5011000132779963E-2</v>
      </c>
      <c r="E23" s="22">
        <f t="shared" si="10"/>
        <v>-0.34904853634539107</v>
      </c>
      <c r="F23" s="23">
        <f t="shared" si="11"/>
        <v>-0.36904853634539109</v>
      </c>
      <c r="H23" s="24">
        <f t="shared" si="12"/>
        <v>5</v>
      </c>
      <c r="I23" s="22">
        <f t="shared" si="13"/>
        <v>-3.8783170705043453E-2</v>
      </c>
      <c r="J23" s="25">
        <f t="shared" si="14"/>
        <v>5</v>
      </c>
      <c r="K23" s="23">
        <f t="shared" si="15"/>
        <v>-4.1005392927265676E-2</v>
      </c>
    </row>
    <row r="24" spans="1:11" s="6" customFormat="1" x14ac:dyDescent="0.3">
      <c r="A24" s="5"/>
      <c r="B24" s="6">
        <v>145</v>
      </c>
      <c r="C24" s="14">
        <f t="shared" si="8"/>
        <v>0.15764939443949172</v>
      </c>
      <c r="D24" s="21">
        <f t="shared" si="9"/>
        <v>-2.356858446870401E-2</v>
      </c>
      <c r="E24" s="22">
        <f t="shared" si="10"/>
        <v>-0.34760612068131513</v>
      </c>
      <c r="F24" s="23">
        <f t="shared" si="11"/>
        <v>-0.36760612068131515</v>
      </c>
      <c r="H24" s="24">
        <f t="shared" si="12"/>
        <v>5</v>
      </c>
      <c r="I24" s="22">
        <f t="shared" si="13"/>
        <v>-3.8622902297923901E-2</v>
      </c>
      <c r="J24" s="25">
        <f t="shared" si="14"/>
        <v>5</v>
      </c>
      <c r="K24" s="23">
        <f t="shared" si="15"/>
        <v>-4.0845124520146131E-2</v>
      </c>
    </row>
    <row r="25" spans="1:11" s="6" customFormat="1" x14ac:dyDescent="0.3">
      <c r="A25" s="5"/>
      <c r="B25" s="6">
        <v>147</v>
      </c>
      <c r="C25" s="14">
        <f t="shared" si="8"/>
        <v>0.14810674748104019</v>
      </c>
      <c r="D25" s="21">
        <f t="shared" si="9"/>
        <v>-2.2141958748415506E-2</v>
      </c>
      <c r="E25" s="22">
        <f t="shared" si="10"/>
        <v>-0.34617949496102662</v>
      </c>
      <c r="F25" s="23">
        <f t="shared" si="11"/>
        <v>-0.36617949496102664</v>
      </c>
      <c r="H25" s="24">
        <f t="shared" si="12"/>
        <v>5</v>
      </c>
      <c r="I25" s="22">
        <f t="shared" si="13"/>
        <v>-3.8464388329002959E-2</v>
      </c>
      <c r="J25" s="25">
        <f t="shared" si="14"/>
        <v>5</v>
      </c>
      <c r="K25" s="23">
        <f t="shared" si="15"/>
        <v>-4.0686610551225182E-2</v>
      </c>
    </row>
    <row r="26" spans="1:11" s="6" customFormat="1" x14ac:dyDescent="0.3">
      <c r="A26" s="5"/>
      <c r="B26" s="6">
        <v>150</v>
      </c>
      <c r="C26" s="14">
        <f t="shared" si="8"/>
        <v>0.13397459621556135</v>
      </c>
      <c r="D26" s="21">
        <f t="shared" si="9"/>
        <v>-2.0029202134226421E-2</v>
      </c>
      <c r="E26" s="22">
        <f t="shared" si="10"/>
        <v>-0.34406673834683754</v>
      </c>
      <c r="F26" s="23">
        <f t="shared" si="11"/>
        <v>-0.36406673834683756</v>
      </c>
      <c r="H26" s="24">
        <f t="shared" si="12"/>
        <v>5</v>
      </c>
      <c r="I26" s="22">
        <f t="shared" si="13"/>
        <v>-3.8229637594093063E-2</v>
      </c>
      <c r="J26" s="25">
        <f t="shared" si="14"/>
        <v>5</v>
      </c>
      <c r="K26" s="23">
        <f t="shared" si="15"/>
        <v>-4.0451859816315286E-2</v>
      </c>
    </row>
    <row r="27" spans="1:11" x14ac:dyDescent="0.3">
      <c r="B27" s="6">
        <v>155</v>
      </c>
      <c r="C27" s="14">
        <f t="shared" si="8"/>
        <v>0.11084733132146997</v>
      </c>
      <c r="D27" s="21">
        <f t="shared" si="9"/>
        <v>-1.6571676032559761E-2</v>
      </c>
      <c r="E27" s="22">
        <f t="shared" si="10"/>
        <v>-0.34060921224517088</v>
      </c>
      <c r="F27" s="23">
        <f t="shared" si="11"/>
        <v>-0.3606092122451709</v>
      </c>
      <c r="H27" s="24">
        <f t="shared" si="12"/>
        <v>5</v>
      </c>
      <c r="I27" s="22">
        <f t="shared" si="13"/>
        <v>-3.7845468027241209E-2</v>
      </c>
      <c r="J27" s="25">
        <f t="shared" si="14"/>
        <v>5</v>
      </c>
      <c r="K27" s="23">
        <f t="shared" si="15"/>
        <v>-4.0067690249463432E-2</v>
      </c>
    </row>
    <row r="28" spans="1:11" x14ac:dyDescent="0.3">
      <c r="D28" s="28"/>
      <c r="E28" s="28"/>
      <c r="F28" s="28"/>
    </row>
  </sheetData>
  <sheetProtection sheet="1" objects="1" scenarios="1"/>
  <mergeCells count="3">
    <mergeCell ref="G1:K1"/>
    <mergeCell ref="H2:I2"/>
    <mergeCell ref="J2:K2"/>
  </mergeCells>
  <conditionalFormatting sqref="A7 A10">
    <cfRule type="expression" dxfId="27" priority="7">
      <formula>A7&gt;0</formula>
    </cfRule>
  </conditionalFormatting>
  <conditionalFormatting sqref="E3:E27">
    <cfRule type="expression" dxfId="26" priority="5">
      <formula>MOD(ROW(),2)=0</formula>
    </cfRule>
  </conditionalFormatting>
  <conditionalFormatting sqref="H2:I27">
    <cfRule type="expression" dxfId="25" priority="3">
      <formula>MOD(ROW(),2)=0</formula>
    </cfRule>
  </conditionalFormatting>
  <conditionalFormatting sqref="J2:K27">
    <cfRule type="expression" dxfId="24" priority="2">
      <formula>MOD(ROW(),2)=0</formula>
    </cfRule>
  </conditionalFormatting>
  <conditionalFormatting sqref="F3:F27">
    <cfRule type="expression" dxfId="23" priority="1">
      <formula>MOD(ROW(),2)=0</formula>
    </cfRule>
  </conditionalFormatting>
  <conditionalFormatting sqref="E4:E27 H4:I27">
    <cfRule type="expression" dxfId="22" priority="4">
      <formula>MOD(ROW(),2)=0</formula>
    </cfRule>
  </conditionalFormatting>
  <conditionalFormatting sqref="E4:E27 H4:I27">
    <cfRule type="expression" dxfId="21" priority="8">
      <formula>MOD(ROW(),2)=1</formula>
    </cfRule>
  </conditionalFormatting>
  <conditionalFormatting sqref="F4:F27 J4:K27">
    <cfRule type="expression" dxfId="20" priority="9">
      <formula>MOD(ROW(),2)=0</formula>
    </cfRule>
  </conditionalFormatting>
  <conditionalFormatting sqref="F4:F27 J4:K27">
    <cfRule type="expression" dxfId="19" priority="10">
      <formula>MOD(ROW(),2)=1</formula>
    </cfRule>
  </conditionalFormatting>
  <conditionalFormatting sqref="H4:I27 E4:E27">
    <cfRule type="expression" dxfId="18" priority="11">
      <formula>MOD(ROW(),2)=1</formula>
    </cfRule>
  </conditionalFormatting>
  <conditionalFormatting sqref="H4:I27 E4:E27">
    <cfRule type="expression" dxfId="17" priority="12">
      <formula>MOD(ROW(),2)=0</formula>
    </cfRule>
  </conditionalFormatting>
  <conditionalFormatting sqref="F4:F27 J4:K27">
    <cfRule type="expression" dxfId="16" priority="13">
      <formula>MOD(ROW(),2)=1</formula>
    </cfRule>
  </conditionalFormatting>
  <conditionalFormatting sqref="F4:F27 J4:K27">
    <cfRule type="expression" dxfId="15" priority="14">
      <formula>MOD(ROW(),2)=0</formula>
    </cfRule>
  </conditionalFormatting>
  <pageMargins left="0.70078740157480324" right="0.70078740157480324" top="0.75196850393700787" bottom="0.75196850393700787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H28"/>
  <sheetViews>
    <sheetView workbookViewId="0">
      <pane xSplit="2" topLeftCell="C1" activePane="topRight" state="frozen"/>
      <selection activeCell="D29" sqref="D29"/>
      <selection pane="topRight"/>
    </sheetView>
  </sheetViews>
  <sheetFormatPr defaultColWidth="9.109375" defaultRowHeight="14.4" x14ac:dyDescent="0.3"/>
  <cols>
    <col min="1" max="1" width="18.77734375" style="5" bestFit="1"/>
    <col min="2" max="2" width="14.44140625" style="5" bestFit="1"/>
    <col min="3" max="3" width="11.5546875" style="5" bestFit="1"/>
    <col min="4" max="4" width="12.77734375" style="5" bestFit="1"/>
    <col min="5" max="5" width="19.21875" style="5" bestFit="1"/>
    <col min="6" max="6" width="22.109375" style="5" bestFit="1" customWidth="1"/>
    <col min="7" max="8" width="13.6640625" style="29" customWidth="1"/>
    <col min="9" max="16384" width="9.109375" style="5"/>
  </cols>
  <sheetData>
    <row r="1" spans="1:8" s="6" customFormat="1" x14ac:dyDescent="0.3">
      <c r="A1" s="7"/>
      <c r="B1" s="7"/>
      <c r="C1" s="7"/>
      <c r="D1" s="7"/>
      <c r="E1" s="7"/>
      <c r="F1" s="7"/>
      <c r="G1" s="63" t="s">
        <v>6</v>
      </c>
      <c r="H1" s="64"/>
    </row>
    <row r="2" spans="1:8" s="8" customFormat="1" x14ac:dyDescent="0.3">
      <c r="A2" s="7"/>
      <c r="B2" s="10"/>
      <c r="C2" s="10"/>
      <c r="D2" s="10"/>
      <c r="E2" s="10"/>
      <c r="F2" s="10"/>
      <c r="G2" s="12" t="s">
        <v>7</v>
      </c>
      <c r="H2" s="13" t="s">
        <v>8</v>
      </c>
    </row>
    <row r="3" spans="1:8" s="14" customFormat="1" x14ac:dyDescent="0.3">
      <c r="A3" s="30" t="s">
        <v>0</v>
      </c>
      <c r="B3" s="15" t="s">
        <v>2</v>
      </c>
      <c r="C3" s="15" t="s">
        <v>3</v>
      </c>
      <c r="D3" s="15" t="s">
        <v>4</v>
      </c>
      <c r="E3" s="31" t="s">
        <v>9</v>
      </c>
      <c r="F3" s="17" t="s">
        <v>10</v>
      </c>
      <c r="G3" s="65" t="s">
        <v>13</v>
      </c>
      <c r="H3" s="66"/>
    </row>
    <row r="4" spans="1:8" s="14" customFormat="1" x14ac:dyDescent="0.3">
      <c r="A4" s="20">
        <v>0.14949999999999999</v>
      </c>
      <c r="B4" s="14">
        <v>30</v>
      </c>
      <c r="C4" s="14">
        <f t="shared" ref="C4:C9" si="0">1 / (2 * TAN(RADIANS(B4 / 2)))</f>
        <v>1.8660254037844388</v>
      </c>
      <c r="D4" s="21">
        <f t="shared" ref="D4:D9" si="1">$A$4 * C4 * -1</f>
        <v>-0.27897079786577361</v>
      </c>
      <c r="E4" s="22">
        <f t="shared" ref="E4:E9" si="2">$A$7 + D4</f>
        <v>-0.60300833407838472</v>
      </c>
      <c r="F4" s="23">
        <f t="shared" ref="F4:F9" si="3">E4 + $A$10</f>
        <v>-0.62300833407838474</v>
      </c>
      <c r="G4" s="32">
        <f t="shared" ref="G4:G9" si="4">ROUNDUP(($A$16 - E4) / $A$13, 3)</f>
        <v>0.13100000000000001</v>
      </c>
      <c r="H4" s="33">
        <f t="shared" ref="H4:H9" si="5">ROUNDUP(($A$16 - F4) / $A$13, 3)</f>
        <v>0.13500000000000001</v>
      </c>
    </row>
    <row r="5" spans="1:8" s="14" customFormat="1" x14ac:dyDescent="0.3">
      <c r="A5" s="5"/>
      <c r="B5" s="14">
        <v>45</v>
      </c>
      <c r="C5" s="14">
        <f t="shared" si="0"/>
        <v>1.2071067811865475</v>
      </c>
      <c r="D5" s="21">
        <f t="shared" si="1"/>
        <v>-0.18046246378738884</v>
      </c>
      <c r="E5" s="22">
        <f t="shared" si="2"/>
        <v>-0.50449999999999995</v>
      </c>
      <c r="F5" s="23">
        <f t="shared" si="3"/>
        <v>-0.52449999999999997</v>
      </c>
      <c r="G5" s="32">
        <f t="shared" si="4"/>
        <v>0.111</v>
      </c>
      <c r="H5" s="33">
        <f t="shared" si="5"/>
        <v>0.115</v>
      </c>
    </row>
    <row r="6" spans="1:8" s="14" customFormat="1" x14ac:dyDescent="0.3">
      <c r="A6" s="30" t="s">
        <v>1</v>
      </c>
      <c r="B6" s="14">
        <v>60</v>
      </c>
      <c r="C6" s="14">
        <f t="shared" si="0"/>
        <v>0.86602540378443871</v>
      </c>
      <c r="D6" s="21">
        <f t="shared" si="1"/>
        <v>-0.12947079786577359</v>
      </c>
      <c r="E6" s="22">
        <f t="shared" si="2"/>
        <v>-0.4535083340783847</v>
      </c>
      <c r="F6" s="23">
        <f t="shared" si="3"/>
        <v>-0.47350833407838472</v>
      </c>
      <c r="G6" s="32">
        <f t="shared" si="4"/>
        <v>0.10100000000000001</v>
      </c>
      <c r="H6" s="33">
        <f t="shared" si="5"/>
        <v>0.105</v>
      </c>
    </row>
    <row r="7" spans="1:8" s="14" customFormat="1" x14ac:dyDescent="0.3">
      <c r="A7" s="26">
        <f>-0.375 - D18 - A10</f>
        <v>-0.32403753621261111</v>
      </c>
      <c r="B7" s="14">
        <v>82</v>
      </c>
      <c r="C7" s="14">
        <f t="shared" si="0"/>
        <v>0.57518420361050482</v>
      </c>
      <c r="D7" s="21">
        <f t="shared" si="1"/>
        <v>-8.5990038439770461E-2</v>
      </c>
      <c r="E7" s="22">
        <f t="shared" si="2"/>
        <v>-0.4100275746523816</v>
      </c>
      <c r="F7" s="23">
        <f t="shared" si="3"/>
        <v>-0.43002757465238162</v>
      </c>
      <c r="G7" s="32">
        <f t="shared" si="4"/>
        <v>9.2999999999999999E-2</v>
      </c>
      <c r="H7" s="33">
        <f t="shared" si="5"/>
        <v>9.7000000000000003E-2</v>
      </c>
    </row>
    <row r="8" spans="1:8" s="14" customFormat="1" x14ac:dyDescent="0.3">
      <c r="A8" s="5"/>
      <c r="B8" s="14">
        <v>85</v>
      </c>
      <c r="C8" s="14">
        <f t="shared" si="0"/>
        <v>0.54565425053463568</v>
      </c>
      <c r="D8" s="21">
        <f t="shared" si="1"/>
        <v>-8.1575310454928024E-2</v>
      </c>
      <c r="E8" s="22">
        <f t="shared" si="2"/>
        <v>-0.40561284666753916</v>
      </c>
      <c r="F8" s="23">
        <f t="shared" si="3"/>
        <v>-0.42561284666753918</v>
      </c>
      <c r="G8" s="32">
        <f t="shared" si="4"/>
        <v>9.1999999999999998E-2</v>
      </c>
      <c r="H8" s="33">
        <f t="shared" si="5"/>
        <v>9.6000000000000002E-2</v>
      </c>
    </row>
    <row r="9" spans="1:8" s="6" customFormat="1" x14ac:dyDescent="0.3">
      <c r="A9" s="34" t="s">
        <v>14</v>
      </c>
      <c r="B9" s="6">
        <v>90</v>
      </c>
      <c r="C9" s="14">
        <f t="shared" si="0"/>
        <v>0.5</v>
      </c>
      <c r="D9" s="21">
        <f t="shared" si="1"/>
        <v>-7.4749999999999997E-2</v>
      </c>
      <c r="E9" s="22">
        <f t="shared" si="2"/>
        <v>-0.39878753621261109</v>
      </c>
      <c r="F9" s="23">
        <f t="shared" si="3"/>
        <v>-0.41878753621261111</v>
      </c>
      <c r="G9" s="32">
        <f t="shared" si="4"/>
        <v>0.09</v>
      </c>
      <c r="H9" s="33">
        <f t="shared" si="5"/>
        <v>9.4E-2</v>
      </c>
    </row>
    <row r="10" spans="1:8" s="6" customFormat="1" x14ac:dyDescent="0.3">
      <c r="A10" s="20">
        <v>-0.02</v>
      </c>
      <c r="B10" s="6">
        <v>100</v>
      </c>
      <c r="C10" s="14">
        <f t="shared" ref="C10:C27" si="6">1 / (2 * TAN(RADIANS(B10 / 2)))</f>
        <v>0.41954981558864002</v>
      </c>
      <c r="D10" s="21">
        <f t="shared" ref="D10:D27" si="7">$A$4 * C10 * -1</f>
        <v>-6.2722697430501684E-2</v>
      </c>
      <c r="E10" s="22">
        <f t="shared" ref="E10:E27" si="8">$A$7 + D10</f>
        <v>-0.38676023364311279</v>
      </c>
      <c r="F10" s="23">
        <f t="shared" ref="F10:F27" si="9">E10 + $A$10</f>
        <v>-0.40676023364311281</v>
      </c>
      <c r="G10" s="32">
        <f t="shared" ref="G10:G27" si="10">ROUNDUP(($A$16 - E10) / $A$13, 3)</f>
        <v>8.7999999999999995E-2</v>
      </c>
      <c r="H10" s="33">
        <f t="shared" ref="H10:H27" si="11">ROUNDUP(($A$16 - F10) / $A$13, 3)</f>
        <v>9.1999999999999998E-2</v>
      </c>
    </row>
    <row r="11" spans="1:8" s="6" customFormat="1" x14ac:dyDescent="0.3">
      <c r="A11" s="5"/>
      <c r="B11" s="6">
        <v>110</v>
      </c>
      <c r="C11" s="14">
        <f t="shared" si="6"/>
        <v>0.35010376910485491</v>
      </c>
      <c r="D11" s="21">
        <f t="shared" si="7"/>
        <v>-5.2340513481175806E-2</v>
      </c>
      <c r="E11" s="22">
        <f t="shared" si="8"/>
        <v>-0.37637804969378691</v>
      </c>
      <c r="F11" s="23">
        <f t="shared" si="9"/>
        <v>-0.39637804969378693</v>
      </c>
      <c r="G11" s="32">
        <f t="shared" si="10"/>
        <v>8.6000000000000007E-2</v>
      </c>
      <c r="H11" s="33">
        <f t="shared" si="11"/>
        <v>0.09</v>
      </c>
    </row>
    <row r="12" spans="1:8" s="6" customFormat="1" x14ac:dyDescent="0.3">
      <c r="A12" s="35" t="s">
        <v>15</v>
      </c>
      <c r="B12" s="6">
        <v>118</v>
      </c>
      <c r="C12" s="14">
        <f t="shared" si="6"/>
        <v>0.30043030951378014</v>
      </c>
      <c r="D12" s="21">
        <f t="shared" si="7"/>
        <v>-4.4914331272310128E-2</v>
      </c>
      <c r="E12" s="22">
        <f t="shared" si="8"/>
        <v>-0.36895186748492126</v>
      </c>
      <c r="F12" s="23">
        <f t="shared" si="9"/>
        <v>-0.38895186748492128</v>
      </c>
      <c r="G12" s="32">
        <f t="shared" si="10"/>
        <v>8.4000000000000005E-2</v>
      </c>
      <c r="H12" s="33">
        <f t="shared" si="11"/>
        <v>8.7999999999999995E-2</v>
      </c>
    </row>
    <row r="13" spans="1:8" s="6" customFormat="1" x14ac:dyDescent="0.3">
      <c r="A13" s="36">
        <v>5</v>
      </c>
      <c r="B13" s="6">
        <v>120</v>
      </c>
      <c r="C13" s="14">
        <f t="shared" si="6"/>
        <v>0.28867513459481298</v>
      </c>
      <c r="D13" s="21">
        <f t="shared" si="7"/>
        <v>-4.3156932621924542E-2</v>
      </c>
      <c r="E13" s="22">
        <f t="shared" si="8"/>
        <v>-0.36719446883453566</v>
      </c>
      <c r="F13" s="23">
        <f t="shared" si="9"/>
        <v>-0.38719446883453568</v>
      </c>
      <c r="G13" s="32">
        <f t="shared" si="10"/>
        <v>8.4000000000000005E-2</v>
      </c>
      <c r="H13" s="33">
        <f t="shared" si="11"/>
        <v>8.7999999999999995E-2</v>
      </c>
    </row>
    <row r="14" spans="1:8" s="6" customFormat="1" x14ac:dyDescent="0.3">
      <c r="A14" s="5"/>
      <c r="B14" s="6">
        <v>124</v>
      </c>
      <c r="C14" s="14">
        <f t="shared" si="6"/>
        <v>0.26585471583073939</v>
      </c>
      <c r="D14" s="21">
        <f t="shared" si="7"/>
        <v>-3.9745280016695535E-2</v>
      </c>
      <c r="E14" s="22">
        <f t="shared" si="8"/>
        <v>-0.36378281622930664</v>
      </c>
      <c r="F14" s="23">
        <f t="shared" si="9"/>
        <v>-0.38378281622930666</v>
      </c>
      <c r="G14" s="32">
        <f t="shared" si="10"/>
        <v>8.3000000000000004E-2</v>
      </c>
      <c r="H14" s="33">
        <f t="shared" si="11"/>
        <v>8.6999999999999994E-2</v>
      </c>
    </row>
    <row r="15" spans="1:8" s="6" customFormat="1" x14ac:dyDescent="0.3">
      <c r="A15" s="37" t="s">
        <v>16</v>
      </c>
      <c r="B15" s="6">
        <v>127</v>
      </c>
      <c r="C15" s="14">
        <f t="shared" si="6"/>
        <v>0.24929080402671572</v>
      </c>
      <c r="D15" s="21">
        <f t="shared" si="7"/>
        <v>-3.7268975201994001E-2</v>
      </c>
      <c r="E15" s="22">
        <f t="shared" si="8"/>
        <v>-0.36130651141460512</v>
      </c>
      <c r="F15" s="23">
        <f t="shared" si="9"/>
        <v>-0.38130651141460514</v>
      </c>
      <c r="G15" s="32">
        <f t="shared" si="10"/>
        <v>8.3000000000000004E-2</v>
      </c>
      <c r="H15" s="33">
        <f t="shared" si="11"/>
        <v>8.6999999999999994E-2</v>
      </c>
    </row>
    <row r="16" spans="1:8" s="6" customFormat="1" x14ac:dyDescent="0.3">
      <c r="A16" s="20">
        <v>0.05</v>
      </c>
      <c r="B16" s="6">
        <v>130</v>
      </c>
      <c r="C16" s="14">
        <f t="shared" si="6"/>
        <v>0.23315382907749929</v>
      </c>
      <c r="D16" s="21">
        <f t="shared" si="7"/>
        <v>-3.4856497447086146E-2</v>
      </c>
      <c r="E16" s="22">
        <f t="shared" si="8"/>
        <v>-0.35889403365969724</v>
      </c>
      <c r="F16" s="23">
        <f t="shared" si="9"/>
        <v>-0.37889403365969726</v>
      </c>
      <c r="G16" s="32">
        <f t="shared" si="10"/>
        <v>8.2000000000000003E-2</v>
      </c>
      <c r="H16" s="33">
        <f t="shared" si="11"/>
        <v>8.6000000000000007E-2</v>
      </c>
    </row>
    <row r="17" spans="1:8" s="6" customFormat="1" x14ac:dyDescent="0.3">
      <c r="A17" s="5"/>
      <c r="B17" s="6">
        <v>132</v>
      </c>
      <c r="C17" s="14">
        <f t="shared" si="6"/>
        <v>0.22261434265426805</v>
      </c>
      <c r="D17" s="21">
        <f t="shared" si="7"/>
        <v>-3.3280844226813072E-2</v>
      </c>
      <c r="E17" s="22">
        <f t="shared" si="8"/>
        <v>-0.35731838043942421</v>
      </c>
      <c r="F17" s="23">
        <f t="shared" si="9"/>
        <v>-0.37731838043942423</v>
      </c>
      <c r="G17" s="32">
        <f t="shared" si="10"/>
        <v>8.2000000000000003E-2</v>
      </c>
      <c r="H17" s="33">
        <f t="shared" si="11"/>
        <v>8.6000000000000007E-2</v>
      </c>
    </row>
    <row r="18" spans="1:8" s="6" customFormat="1" x14ac:dyDescent="0.3">
      <c r="A18" s="5"/>
      <c r="B18" s="6">
        <v>135</v>
      </c>
      <c r="C18" s="14">
        <f t="shared" si="6"/>
        <v>0.20710678118654754</v>
      </c>
      <c r="D18" s="21">
        <f t="shared" si="7"/>
        <v>-3.0962463787388858E-2</v>
      </c>
      <c r="E18" s="22">
        <f t="shared" si="8"/>
        <v>-0.35499999999999998</v>
      </c>
      <c r="F18" s="23">
        <f t="shared" si="9"/>
        <v>-0.375</v>
      </c>
      <c r="G18" s="32">
        <f t="shared" si="10"/>
        <v>8.1000000000000003E-2</v>
      </c>
      <c r="H18" s="33">
        <f t="shared" si="11"/>
        <v>8.5000000000000006E-2</v>
      </c>
    </row>
    <row r="19" spans="1:8" s="6" customFormat="1" x14ac:dyDescent="0.3">
      <c r="A19" s="5"/>
      <c r="B19" s="6">
        <v>137</v>
      </c>
      <c r="C19" s="14">
        <f t="shared" si="6"/>
        <v>0.19695523780747121</v>
      </c>
      <c r="D19" s="21">
        <f t="shared" si="7"/>
        <v>-2.9444808052216945E-2</v>
      </c>
      <c r="E19" s="22">
        <f t="shared" si="8"/>
        <v>-0.35348234426482805</v>
      </c>
      <c r="F19" s="23">
        <f t="shared" si="9"/>
        <v>-0.37348234426482807</v>
      </c>
      <c r="G19" s="32">
        <f t="shared" si="10"/>
        <v>8.1000000000000003E-2</v>
      </c>
      <c r="H19" s="33">
        <f t="shared" si="11"/>
        <v>8.5000000000000006E-2</v>
      </c>
    </row>
    <row r="20" spans="1:8" s="6" customFormat="1" x14ac:dyDescent="0.3">
      <c r="A20" s="5"/>
      <c r="B20" s="6">
        <v>140</v>
      </c>
      <c r="C20" s="14">
        <f t="shared" si="6"/>
        <v>0.18198511713310123</v>
      </c>
      <c r="D20" s="21">
        <f t="shared" si="7"/>
        <v>-2.7206775011398631E-2</v>
      </c>
      <c r="E20" s="22">
        <f t="shared" si="8"/>
        <v>-0.35124431122400973</v>
      </c>
      <c r="F20" s="23">
        <f t="shared" si="9"/>
        <v>-0.37124431122400975</v>
      </c>
      <c r="G20" s="32">
        <f t="shared" si="10"/>
        <v>8.1000000000000003E-2</v>
      </c>
      <c r="H20" s="33">
        <f t="shared" si="11"/>
        <v>8.5000000000000006E-2</v>
      </c>
    </row>
    <row r="21" spans="1:8" s="6" customFormat="1" x14ac:dyDescent="0.3">
      <c r="A21" s="5"/>
      <c r="B21" s="6">
        <v>141</v>
      </c>
      <c r="C21" s="14">
        <f t="shared" si="6"/>
        <v>0.177059286265349</v>
      </c>
      <c r="D21" s="21">
        <f t="shared" si="7"/>
        <v>-2.6470363296669675E-2</v>
      </c>
      <c r="E21" s="22">
        <f t="shared" si="8"/>
        <v>-0.3505078995092808</v>
      </c>
      <c r="F21" s="23">
        <f t="shared" si="9"/>
        <v>-0.37050789950928081</v>
      </c>
      <c r="G21" s="32">
        <f t="shared" si="10"/>
        <v>8.1000000000000003E-2</v>
      </c>
      <c r="H21" s="33">
        <f t="shared" si="11"/>
        <v>8.5000000000000006E-2</v>
      </c>
    </row>
    <row r="22" spans="1:8" s="6" customFormat="1" x14ac:dyDescent="0.3">
      <c r="A22" s="28"/>
      <c r="B22" s="6">
        <v>142</v>
      </c>
      <c r="C22" s="14">
        <f t="shared" si="6"/>
        <v>0.17216380664483266</v>
      </c>
      <c r="D22" s="21">
        <f t="shared" si="7"/>
        <v>-2.5738489093402483E-2</v>
      </c>
      <c r="E22" s="22">
        <f t="shared" si="8"/>
        <v>-0.34977602530601359</v>
      </c>
      <c r="F22" s="23">
        <f t="shared" si="9"/>
        <v>-0.36977602530601361</v>
      </c>
      <c r="G22" s="32">
        <f t="shared" si="10"/>
        <v>0.08</v>
      </c>
      <c r="H22" s="33">
        <f t="shared" si="11"/>
        <v>8.4000000000000005E-2</v>
      </c>
    </row>
    <row r="23" spans="1:8" s="6" customFormat="1" x14ac:dyDescent="0.3">
      <c r="A23" s="28"/>
      <c r="B23" s="6">
        <v>143</v>
      </c>
      <c r="C23" s="14">
        <f t="shared" si="6"/>
        <v>0.16729765975103655</v>
      </c>
      <c r="D23" s="21">
        <f t="shared" si="7"/>
        <v>-2.5011000132779963E-2</v>
      </c>
      <c r="E23" s="22">
        <f t="shared" si="8"/>
        <v>-0.34904853634539107</v>
      </c>
      <c r="F23" s="23">
        <f t="shared" si="9"/>
        <v>-0.36904853634539109</v>
      </c>
      <c r="G23" s="32">
        <f t="shared" si="10"/>
        <v>0.08</v>
      </c>
      <c r="H23" s="33">
        <f t="shared" si="11"/>
        <v>8.4000000000000005E-2</v>
      </c>
    </row>
    <row r="24" spans="1:8" s="6" customFormat="1" x14ac:dyDescent="0.3">
      <c r="A24" s="5"/>
      <c r="B24" s="6">
        <v>145</v>
      </c>
      <c r="C24" s="14">
        <f t="shared" si="6"/>
        <v>0.15764939443949172</v>
      </c>
      <c r="D24" s="21">
        <f t="shared" si="7"/>
        <v>-2.356858446870401E-2</v>
      </c>
      <c r="E24" s="22">
        <f t="shared" si="8"/>
        <v>-0.34760612068131513</v>
      </c>
      <c r="F24" s="23">
        <f t="shared" si="9"/>
        <v>-0.36760612068131515</v>
      </c>
      <c r="G24" s="32">
        <f t="shared" si="10"/>
        <v>0.08</v>
      </c>
      <c r="H24" s="33">
        <f t="shared" si="11"/>
        <v>8.4000000000000005E-2</v>
      </c>
    </row>
    <row r="25" spans="1:8" s="6" customFormat="1" x14ac:dyDescent="0.3">
      <c r="A25" s="28"/>
      <c r="B25" s="6">
        <v>147</v>
      </c>
      <c r="C25" s="14">
        <f t="shared" si="6"/>
        <v>0.14810674748104019</v>
      </c>
      <c r="D25" s="21">
        <f t="shared" si="7"/>
        <v>-2.2141958748415506E-2</v>
      </c>
      <c r="E25" s="22">
        <f t="shared" si="8"/>
        <v>-0.34617949496102662</v>
      </c>
      <c r="F25" s="23">
        <f t="shared" si="9"/>
        <v>-0.36617949496102664</v>
      </c>
      <c r="G25" s="32">
        <f t="shared" si="10"/>
        <v>0.08</v>
      </c>
      <c r="H25" s="33">
        <f t="shared" si="11"/>
        <v>8.4000000000000005E-2</v>
      </c>
    </row>
    <row r="26" spans="1:8" s="6" customFormat="1" x14ac:dyDescent="0.3">
      <c r="A26" s="5"/>
      <c r="B26" s="6">
        <v>150</v>
      </c>
      <c r="C26" s="14">
        <f t="shared" si="6"/>
        <v>0.13397459621556135</v>
      </c>
      <c r="D26" s="21">
        <f t="shared" si="7"/>
        <v>-2.0029202134226421E-2</v>
      </c>
      <c r="E26" s="22">
        <f t="shared" si="8"/>
        <v>-0.34406673834683754</v>
      </c>
      <c r="F26" s="23">
        <f t="shared" si="9"/>
        <v>-0.36406673834683756</v>
      </c>
      <c r="G26" s="32">
        <f t="shared" si="10"/>
        <v>7.9000000000000001E-2</v>
      </c>
      <c r="H26" s="33">
        <f t="shared" si="11"/>
        <v>8.3000000000000004E-2</v>
      </c>
    </row>
    <row r="27" spans="1:8" x14ac:dyDescent="0.3">
      <c r="B27" s="6">
        <v>155</v>
      </c>
      <c r="C27" s="14">
        <f t="shared" si="6"/>
        <v>0.11084733132146997</v>
      </c>
      <c r="D27" s="21">
        <f t="shared" si="7"/>
        <v>-1.6571676032559761E-2</v>
      </c>
      <c r="E27" s="22">
        <f t="shared" si="8"/>
        <v>-0.34060921224517088</v>
      </c>
      <c r="F27" s="23">
        <f t="shared" si="9"/>
        <v>-0.3606092122451709</v>
      </c>
      <c r="G27" s="32">
        <f t="shared" si="10"/>
        <v>7.9000000000000001E-2</v>
      </c>
      <c r="H27" s="33">
        <f t="shared" si="11"/>
        <v>8.3000000000000004E-2</v>
      </c>
    </row>
    <row r="28" spans="1:8" x14ac:dyDescent="0.3">
      <c r="D28" s="28"/>
      <c r="E28" s="28"/>
      <c r="F28" s="28"/>
    </row>
  </sheetData>
  <sheetProtection sheet="1" objects="1" scenarios="1"/>
  <mergeCells count="2">
    <mergeCell ref="G1:H1"/>
    <mergeCell ref="G3:H3"/>
  </mergeCells>
  <conditionalFormatting sqref="A7 A10">
    <cfRule type="expression" dxfId="14" priority="4">
      <formula>A7&gt;0</formula>
    </cfRule>
  </conditionalFormatting>
  <conditionalFormatting sqref="E3:E27 G4:G27">
    <cfRule type="expression" dxfId="13" priority="3">
      <formula>MOD(ROW(),2)=0</formula>
    </cfRule>
  </conditionalFormatting>
  <conditionalFormatting sqref="F3:F27">
    <cfRule type="expression" dxfId="12" priority="2">
      <formula>MOD(ROW(),2)=0</formula>
    </cfRule>
  </conditionalFormatting>
  <conditionalFormatting sqref="H4:H27">
    <cfRule type="expression" dxfId="11" priority="1">
      <formula>MOD(ROW(),2)=0</formula>
    </cfRule>
  </conditionalFormatting>
  <conditionalFormatting sqref="E4:E27 G4:G27">
    <cfRule type="expression" dxfId="10" priority="5">
      <formula>MOD(ROW(),2)=0</formula>
    </cfRule>
  </conditionalFormatting>
  <conditionalFormatting sqref="E4:E27 G4:G27">
    <cfRule type="expression" dxfId="9" priority="6">
      <formula>MOD(ROW(),2)=1</formula>
    </cfRule>
  </conditionalFormatting>
  <conditionalFormatting sqref="F4:F27 H4:H27">
    <cfRule type="expression" dxfId="8" priority="7">
      <formula>MOD(ROW(),2)=0</formula>
    </cfRule>
  </conditionalFormatting>
  <conditionalFormatting sqref="F4:F27 H4:H27">
    <cfRule type="expression" dxfId="7" priority="8">
      <formula>MOD(ROW(),2)=1</formula>
    </cfRule>
  </conditionalFormatting>
  <conditionalFormatting sqref="E4:E27 G4:G27">
    <cfRule type="expression" dxfId="6" priority="9">
      <formula>MOD(ROW(),2)=0</formula>
    </cfRule>
  </conditionalFormatting>
  <conditionalFormatting sqref="E4:E27 G4:G27">
    <cfRule type="expression" dxfId="5" priority="10">
      <formula>MOD(ROW(),2)=1</formula>
    </cfRule>
  </conditionalFormatting>
  <conditionalFormatting sqref="F4:F27 H4:H27">
    <cfRule type="expression" dxfId="4" priority="11">
      <formula>MOD(ROW(),2)=0</formula>
    </cfRule>
  </conditionalFormatting>
  <conditionalFormatting sqref="F4:F27 H4:H27">
    <cfRule type="expression" dxfId="3" priority="12">
      <formula>MOD(ROW(),2)=1</formula>
    </cfRule>
  </conditionalFormatting>
  <pageMargins left="0.70078740157480324" right="0.70078740157480324" top="0.75196850393700787" bottom="0.75196850393700787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7"/>
  <sheetViews>
    <sheetView zoomScale="115" workbookViewId="0">
      <selection activeCell="E24" sqref="E24"/>
    </sheetView>
  </sheetViews>
  <sheetFormatPr defaultRowHeight="14.4" x14ac:dyDescent="0.3"/>
  <cols>
    <col min="1" max="1" width="14.21875" bestFit="1" customWidth="1"/>
    <col min="2" max="2" width="12.44140625" bestFit="1"/>
  </cols>
  <sheetData>
    <row r="1" spans="1:2" x14ac:dyDescent="0.3">
      <c r="A1" s="38" t="s">
        <v>17</v>
      </c>
      <c r="B1" s="39" t="s">
        <v>18</v>
      </c>
    </row>
    <row r="2" spans="1:2" x14ac:dyDescent="0.3">
      <c r="A2" s="40">
        <v>60</v>
      </c>
      <c r="B2" s="41">
        <f>(Sheet1!D2 - Sheet2!C6) / Sheet1!D2</f>
        <v>-2.9334624063181991E-5</v>
      </c>
    </row>
    <row r="3" spans="1:2" x14ac:dyDescent="0.3">
      <c r="A3" s="40">
        <v>82</v>
      </c>
      <c r="B3" s="41">
        <f>(Sheet1!D3-Sheet2!C7)/Sheet1!D3</f>
        <v>-3.2035410522584834E-4</v>
      </c>
    </row>
    <row r="4" spans="1:2" x14ac:dyDescent="0.3">
      <c r="A4" s="40">
        <v>90</v>
      </c>
      <c r="B4" s="41">
        <f>(Sheet1!D4 - Sheet2!C9) / Sheet1!D4</f>
        <v>0</v>
      </c>
    </row>
    <row r="5" spans="1:2" x14ac:dyDescent="0.3">
      <c r="A5" s="40">
        <v>118</v>
      </c>
      <c r="B5" s="41">
        <f>(Sheet1!D5 - Sheet2!C12) / Sheet1!D5</f>
        <v>-1.434365045933824E-3</v>
      </c>
    </row>
    <row r="6" spans="1:2" x14ac:dyDescent="0.3">
      <c r="A6" s="40">
        <v>120</v>
      </c>
      <c r="B6" s="41">
        <f>(Sheet1!D6-Sheet2!C13)/Sheet1!D6</f>
        <v>-2.3442173431006889E-3</v>
      </c>
    </row>
    <row r="7" spans="1:2" x14ac:dyDescent="0.3">
      <c r="A7" s="40">
        <v>135</v>
      </c>
      <c r="B7" s="41">
        <f>(Sheet1!D7 - Sheet2!C18) / Sheet1!D7</f>
        <v>-5.158511427418136E-4</v>
      </c>
    </row>
  </sheetData>
  <sheetProtection sheet="1" objects="1" scenarios="1"/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G6"/>
  <sheetViews>
    <sheetView tabSelected="1" workbookViewId="0">
      <selection activeCell="E19" sqref="E19"/>
    </sheetView>
  </sheetViews>
  <sheetFormatPr defaultColWidth="9.109375" defaultRowHeight="14.4" x14ac:dyDescent="0.3"/>
  <cols>
    <col min="1" max="1" width="15.109375" style="40" bestFit="1" customWidth="1"/>
    <col min="2" max="3" width="13.77734375" style="40" bestFit="1" customWidth="1"/>
    <col min="4" max="4" width="16.77734375" style="40" bestFit="1" customWidth="1"/>
    <col min="5" max="5" width="18" style="40" bestFit="1" customWidth="1"/>
    <col min="6" max="6" width="12.77734375" style="40" bestFit="1" customWidth="1"/>
    <col min="7" max="7" width="15.77734375" style="40" bestFit="1" customWidth="1"/>
    <col min="8" max="16384" width="9.109375" style="40"/>
  </cols>
  <sheetData>
    <row r="1" spans="1:7" s="42" customFormat="1" x14ac:dyDescent="0.3">
      <c r="A1" s="67" t="s">
        <v>8</v>
      </c>
      <c r="B1" s="67"/>
      <c r="C1" s="67"/>
      <c r="D1" s="67" t="s">
        <v>19</v>
      </c>
      <c r="E1" s="67"/>
    </row>
    <row r="2" spans="1:7" s="44" customFormat="1" x14ac:dyDescent="0.3">
      <c r="A2" s="45" t="s">
        <v>20</v>
      </c>
      <c r="B2" s="30" t="s">
        <v>21</v>
      </c>
      <c r="C2" s="45" t="s">
        <v>22</v>
      </c>
      <c r="D2" s="43" t="s">
        <v>14</v>
      </c>
      <c r="E2" s="43" t="s">
        <v>23</v>
      </c>
    </row>
    <row r="3" spans="1:7" x14ac:dyDescent="0.3">
      <c r="A3" s="3">
        <v>24</v>
      </c>
      <c r="B3" s="3">
        <v>-2</v>
      </c>
      <c r="C3" s="3">
        <v>7</v>
      </c>
      <c r="D3" s="46">
        <f>C3 * 1 / A3</f>
        <v>0.29166666666666669</v>
      </c>
      <c r="E3" s="46">
        <f>B3 - D3</f>
        <v>-2.2916666666666665</v>
      </c>
    </row>
    <row r="5" spans="1:7" s="47" customFormat="1" x14ac:dyDescent="0.3">
      <c r="A5" s="45" t="s">
        <v>20</v>
      </c>
      <c r="B5" s="45" t="s">
        <v>24</v>
      </c>
      <c r="C5" s="30" t="s">
        <v>34</v>
      </c>
      <c r="D5" s="45" t="s">
        <v>22</v>
      </c>
      <c r="E5" s="45" t="s">
        <v>25</v>
      </c>
      <c r="F5" s="42" t="s">
        <v>26</v>
      </c>
      <c r="G5" s="45" t="s">
        <v>27</v>
      </c>
    </row>
    <row r="6" spans="1:7" x14ac:dyDescent="0.3">
      <c r="A6" s="3">
        <v>24</v>
      </c>
      <c r="B6" s="48">
        <v>5</v>
      </c>
      <c r="C6" s="48">
        <v>-0.36</v>
      </c>
      <c r="D6" s="48">
        <v>1</v>
      </c>
      <c r="E6" s="46">
        <f>B6 / A6</f>
        <v>0.20833333333333334</v>
      </c>
      <c r="F6" s="46">
        <f>C6 - E6</f>
        <v>-0.56833333333333336</v>
      </c>
      <c r="G6" s="46">
        <f>-1 * (D6 / A6) + F6</f>
        <v>-0.61</v>
      </c>
    </row>
  </sheetData>
  <sheetProtection sheet="1" objects="1" scenarios="1"/>
  <mergeCells count="2">
    <mergeCell ref="A1:C1"/>
    <mergeCell ref="D1:E1"/>
  </mergeCells>
  <conditionalFormatting sqref="C6">
    <cfRule type="cellIs" dxfId="2" priority="2" operator="greaterThan">
      <formula>0</formula>
    </cfRule>
  </conditionalFormatting>
  <conditionalFormatting sqref="B3">
    <cfRule type="cellIs" dxfId="1" priority="1" operator="greaterThan">
      <formula>0</formula>
    </cfRule>
  </conditionalFormatting>
  <pageMargins left="0.70078740157480324" right="0.70078740157480324" top="0.75196850393700787" bottom="0.75196850393700787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I11"/>
  <sheetViews>
    <sheetView workbookViewId="0">
      <selection activeCell="I2" sqref="I2"/>
    </sheetView>
  </sheetViews>
  <sheetFormatPr defaultRowHeight="14.4" x14ac:dyDescent="0.3"/>
  <cols>
    <col min="1" max="1" width="16.33203125" style="49" bestFit="1" customWidth="1"/>
    <col min="2" max="2" width="8.88671875" style="49"/>
    <col min="3" max="3" width="22.88671875" style="49" bestFit="1" customWidth="1"/>
    <col min="4" max="4" width="8.88671875" style="49"/>
    <col min="5" max="5" width="8.88671875" style="50"/>
    <col min="6" max="6" width="8.88671875" style="49"/>
    <col min="7" max="7" width="33.88671875" style="49" bestFit="1" customWidth="1"/>
    <col min="8" max="8" width="8.88671875" style="49"/>
    <col min="9" max="9" width="9.44140625" style="49" bestFit="1" customWidth="1"/>
    <col min="10" max="16384" width="8.88671875" style="49"/>
  </cols>
  <sheetData>
    <row r="1" spans="1:9" s="51" customFormat="1" x14ac:dyDescent="0.3">
      <c r="A1" s="45" t="s">
        <v>28</v>
      </c>
      <c r="C1" s="52" t="s">
        <v>29</v>
      </c>
      <c r="E1" s="53"/>
      <c r="G1" s="45" t="s">
        <v>29</v>
      </c>
      <c r="I1" s="45" t="s">
        <v>28</v>
      </c>
    </row>
    <row r="2" spans="1:9" x14ac:dyDescent="0.3">
      <c r="A2" s="54">
        <v>-0.01</v>
      </c>
      <c r="C2" s="55">
        <f>A8 + 2 * (A2 * -1) * TAN(RADIANS(A5 / 2))</f>
        <v>0.21838573475632456</v>
      </c>
      <c r="G2" s="56">
        <v>2.38</v>
      </c>
      <c r="I2" s="57">
        <f>(((G2 / 2 + G11) - (G5 / 2)) / TAN(RADIANS(G8 / 2))) * -1</f>
        <v>-0.28255000000000002</v>
      </c>
    </row>
    <row r="4" spans="1:9" s="51" customFormat="1" x14ac:dyDescent="0.3">
      <c r="A4" s="45" t="s">
        <v>2</v>
      </c>
      <c r="C4" s="45" t="s">
        <v>30</v>
      </c>
      <c r="E4" s="53"/>
      <c r="G4" s="45" t="s">
        <v>31</v>
      </c>
    </row>
    <row r="5" spans="1:9" x14ac:dyDescent="0.3">
      <c r="A5" s="54">
        <v>82</v>
      </c>
      <c r="C5" s="51">
        <f>C2 - A8</f>
        <v>1.7385734756324545E-2</v>
      </c>
      <c r="G5" s="56">
        <v>1.9149</v>
      </c>
    </row>
    <row r="7" spans="1:9" s="51" customFormat="1" x14ac:dyDescent="0.3">
      <c r="A7" s="45" t="s">
        <v>31</v>
      </c>
      <c r="C7" s="52"/>
      <c r="E7" s="53"/>
      <c r="G7" s="45" t="s">
        <v>32</v>
      </c>
    </row>
    <row r="8" spans="1:9" x14ac:dyDescent="0.3">
      <c r="A8" s="54">
        <v>0.20100000000000001</v>
      </c>
      <c r="G8" s="56">
        <v>90</v>
      </c>
    </row>
    <row r="10" spans="1:9" s="51" customFormat="1" x14ac:dyDescent="0.3">
      <c r="E10" s="53"/>
      <c r="G10" s="45" t="s">
        <v>33</v>
      </c>
    </row>
    <row r="11" spans="1:9" x14ac:dyDescent="0.3">
      <c r="G11" s="56">
        <v>0.05</v>
      </c>
    </row>
  </sheetData>
  <sheetProtection sheet="1" objects="1" scenarios="1"/>
  <conditionalFormatting sqref="A2"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Perent Error</vt:lpstr>
      <vt:lpstr>Tapping</vt:lpstr>
      <vt:lpstr>Countersinking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Cheese</cp:lastModifiedBy>
  <cp:revision>40</cp:revision>
  <dcterms:modified xsi:type="dcterms:W3CDTF">2026-07-26T21:50:16Z</dcterms:modified>
</cp:coreProperties>
</file>