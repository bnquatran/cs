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ese\Desktop\"/>
    </mc:Choice>
  </mc:AlternateContent>
  <bookViews>
    <workbookView xWindow="360" yWindow="12" windowWidth="20952" windowHeight="9720"/>
  </bookViews>
  <sheets>
    <sheet name="Metric" sheetId="1" r:id="rId1"/>
    <sheet name="Imperial" sheetId="2" r:id="rId2"/>
  </sheets>
  <definedNames>
    <definedName name="imperial_b_coefficient_close" comment="y = c * x^b" xml:space="preserve"> SLOPE(LN(Imperial!$G$4:$G$25), LN(Imperial!$B$4:$B$25))</definedName>
    <definedName name="imperial_b_coefficient_loose" comment="y = c * x^b" xml:space="preserve"> SLOPE(LN(Imperial!$U$4:$U$25), LN(Imperial!$B$4:$B$25))</definedName>
    <definedName name="imperial_b_coefficient_normal" comment="y = c * x^b" xml:space="preserve"> SLOPE(LN(Imperial!$N$4:$N$25), LN(Imperial!$B$4:$B$25))</definedName>
    <definedName name="imperial_c_coefficient_close" comment="y = c * x^b" xml:space="preserve"> EXP(INTERCEPT(LN(Imperial!$G$4:$G$25), LN(Imperial!$B$4:$B$25)))</definedName>
    <definedName name="imperial_c_coefficient_loose" comment="y = c * x^b" xml:space="preserve"> EXP(INTERCEPT(LN(Imperial!$U$4:$U$25), LN(Imperial!$B$4:$B$25)))</definedName>
    <definedName name="imperial_c_coefficient_normal" comment="y = c * x^b" xml:space="preserve"> EXP(INTERCEPT(LN(Imperial!$N$4:$N$25), LN(Imperial!$B$4:$B$25)))</definedName>
    <definedName name="metric_b_coefficient_close" comment="y = c * x^b" xml:space="preserve"> SLOPE(LN(Metric!$F$4:$F$27), LN(Metric!$A$4:$A$27))</definedName>
    <definedName name="metric_b_coefficient_loose" comment="y = c * x^b" xml:space="preserve"> SLOPE(LN(Metric!$R$4:$R$27), LN(Metric!$A$4:$A$27))</definedName>
    <definedName name="metric_b_coefficient_normal" comment="y = c * x^b" xml:space="preserve"> SLOPE(LN(Metric!$L$4:$L$27), LN(Metric!$A$4:$A$27))</definedName>
    <definedName name="metric_c_coefficient_close" comment="y = c * x^b" xml:space="preserve"> EXP(INTERCEPT(LN(Metric!$F$4:$F$27), LN(Metric!$A$4:$A$27)))</definedName>
    <definedName name="metric_c_coefficient_loose" comment="y = c * x^b" xml:space="preserve"> EXP(INTERCEPT(LN(Metric!$R$4:$R$27), LN(Metric!$A$4:$A$27)))</definedName>
    <definedName name="metric_c_coefficient_normal" comment="y = c * x^b" xml:space="preserve"> EXP(INTERCEPT(LN(Metric!$L$4:$L$27), LN(Metric!$A$4:$A$27)))</definedName>
  </definedNames>
  <calcPr calcId="162913"/>
</workbook>
</file>

<file path=xl/calcChain.xml><?xml version="1.0" encoding="utf-8"?>
<calcChain xmlns="http://schemas.openxmlformats.org/spreadsheetml/2006/main">
  <c r="W25" i="2" l="1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4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U13" i="2"/>
  <c r="V12" i="2"/>
  <c r="U12" i="2"/>
  <c r="V11" i="2"/>
  <c r="U11" i="2"/>
  <c r="V10" i="2"/>
  <c r="U10" i="2"/>
  <c r="V9" i="2"/>
  <c r="U9" i="2"/>
  <c r="V8" i="2"/>
  <c r="U8" i="2"/>
  <c r="V7" i="2"/>
  <c r="U7" i="2"/>
  <c r="V6" i="2"/>
  <c r="U6" i="2"/>
  <c r="V5" i="2"/>
  <c r="U5" i="2"/>
  <c r="V4" i="2"/>
  <c r="U4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H4" i="2"/>
  <c r="G4" i="2"/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4" i="1"/>
  <c r="Q5" i="1" l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4" i="1"/>
  <c r="R25" i="2" l="1"/>
  <c r="K25" i="2"/>
  <c r="D25" i="2"/>
  <c r="B25" i="2"/>
  <c r="R24" i="2"/>
  <c r="K24" i="2"/>
  <c r="D24" i="2"/>
  <c r="B24" i="2"/>
  <c r="R23" i="2"/>
  <c r="K23" i="2"/>
  <c r="D23" i="2"/>
  <c r="B23" i="2"/>
  <c r="R22" i="2"/>
  <c r="K22" i="2"/>
  <c r="D22" i="2"/>
  <c r="B22" i="2"/>
  <c r="R21" i="2"/>
  <c r="K21" i="2"/>
  <c r="D21" i="2"/>
  <c r="B21" i="2"/>
  <c r="R20" i="2"/>
  <c r="K20" i="2"/>
  <c r="D20" i="2"/>
  <c r="B20" i="2"/>
  <c r="R19" i="2"/>
  <c r="K19" i="2"/>
  <c r="D19" i="2"/>
  <c r="B19" i="2"/>
  <c r="R18" i="2"/>
  <c r="K18" i="2"/>
  <c r="D18" i="2"/>
  <c r="B18" i="2"/>
  <c r="R17" i="2"/>
  <c r="K17" i="2"/>
  <c r="D17" i="2"/>
  <c r="B17" i="2"/>
  <c r="R16" i="2"/>
  <c r="K16" i="2"/>
  <c r="D16" i="2"/>
  <c r="B16" i="2"/>
  <c r="R15" i="2"/>
  <c r="K15" i="2"/>
  <c r="D15" i="2"/>
  <c r="B15" i="2"/>
  <c r="R14" i="2"/>
  <c r="K14" i="2"/>
  <c r="D14" i="2"/>
  <c r="B14" i="2"/>
  <c r="AC3" i="2" s="1"/>
  <c r="R13" i="2"/>
  <c r="K13" i="2"/>
  <c r="D13" i="2"/>
  <c r="B13" i="2"/>
  <c r="R9" i="2"/>
  <c r="K9" i="2"/>
  <c r="D9" i="2"/>
  <c r="D6" i="2"/>
  <c r="R4" i="2"/>
  <c r="AB3" i="2"/>
  <c r="AA3" i="2"/>
  <c r="X3" i="1"/>
  <c r="Y3" i="1"/>
  <c r="W3" i="1"/>
</calcChain>
</file>

<file path=xl/sharedStrings.xml><?xml version="1.0" encoding="utf-8"?>
<sst xmlns="http://schemas.openxmlformats.org/spreadsheetml/2006/main" count="158" uniqueCount="90">
  <si>
    <t>Normal</t>
  </si>
  <si>
    <t>Nominal Screw Size</t>
  </si>
  <si>
    <t>Min</t>
  </si>
  <si>
    <t>Max</t>
  </si>
  <si>
    <t>Close</t>
  </si>
  <si>
    <t>Loose</t>
  </si>
  <si>
    <t>Nominal Drill Size</t>
  </si>
  <si>
    <t>1/4</t>
  </si>
  <si>
    <t>3/8</t>
  </si>
  <si>
    <t>7/16</t>
  </si>
  <si>
    <t>1/2</t>
  </si>
  <si>
    <t>5/8</t>
  </si>
  <si>
    <t>3/4</t>
  </si>
  <si>
    <t>7/8</t>
  </si>
  <si>
    <t>#0</t>
  </si>
  <si>
    <t>#1</t>
  </si>
  <si>
    <t>#2</t>
  </si>
  <si>
    <t>#3</t>
  </si>
  <si>
    <t>#4</t>
  </si>
  <si>
    <t>#5</t>
  </si>
  <si>
    <t>#6</t>
  </si>
  <si>
    <t>#8</t>
  </si>
  <si>
    <t>#10</t>
  </si>
  <si>
    <t>1</t>
  </si>
  <si>
    <t>1 1/8</t>
  </si>
  <si>
    <t>1 1/4</t>
  </si>
  <si>
    <t>1 3/8</t>
  </si>
  <si>
    <t>1 1/2</t>
  </si>
  <si>
    <t>#48</t>
  </si>
  <si>
    <t>#43</t>
  </si>
  <si>
    <t>#38</t>
  </si>
  <si>
    <t>#32</t>
  </si>
  <si>
    <t>#30</t>
  </si>
  <si>
    <t>5/32</t>
  </si>
  <si>
    <t>#18</t>
  </si>
  <si>
    <t>#9</t>
  </si>
  <si>
    <t>9/32</t>
  </si>
  <si>
    <t>11/32</t>
  </si>
  <si>
    <t>13/32</t>
  </si>
  <si>
    <t>15/32</t>
  </si>
  <si>
    <t>9/16</t>
  </si>
  <si>
    <t>11/16</t>
  </si>
  <si>
    <t>15/16</t>
  </si>
  <si>
    <t>1 3/32</t>
  </si>
  <si>
    <t>1 7/32</t>
  </si>
  <si>
    <t>1 11/32</t>
  </si>
  <si>
    <t>1 5/8</t>
  </si>
  <si>
    <t>5/16</t>
  </si>
  <si>
    <t>#51</t>
  </si>
  <si>
    <t>#46</t>
  </si>
  <si>
    <t>#36</t>
  </si>
  <si>
    <t>#31</t>
  </si>
  <si>
    <t>#23</t>
  </si>
  <si>
    <t>#15</t>
  </si>
  <si>
    <t>17/32</t>
  </si>
  <si>
    <t>21/32</t>
  </si>
  <si>
    <t>25/32</t>
  </si>
  <si>
    <t>29/32</t>
  </si>
  <si>
    <t>17/64</t>
  </si>
  <si>
    <t>21/64</t>
  </si>
  <si>
    <t>25/64</t>
  </si>
  <si>
    <t>29/64</t>
  </si>
  <si>
    <t>1 1/32</t>
  </si>
  <si>
    <t>1 5/32</t>
  </si>
  <si>
    <t>1 9/32</t>
  </si>
  <si>
    <t>1 7/16</t>
  </si>
  <si>
    <t>1 9/16</t>
  </si>
  <si>
    <t>3/32</t>
  </si>
  <si>
    <t>9/64</t>
  </si>
  <si>
    <t>#37</t>
  </si>
  <si>
    <t>#27</t>
  </si>
  <si>
    <t>#13</t>
  </si>
  <si>
    <t>B</t>
  </si>
  <si>
    <t>11/64</t>
  </si>
  <si>
    <t>19/64</t>
  </si>
  <si>
    <t>23/64</t>
  </si>
  <si>
    <t>27/64</t>
  </si>
  <si>
    <t>31/64</t>
  </si>
  <si>
    <t>39/64</t>
  </si>
  <si>
    <t>47/64</t>
  </si>
  <si>
    <t>1 132</t>
  </si>
  <si>
    <t>1 5/16</t>
  </si>
  <si>
    <t>1 39/64</t>
  </si>
  <si>
    <t>1 47/64</t>
  </si>
  <si>
    <t>Hole Diameter</t>
  </si>
  <si>
    <t>Allowance</t>
  </si>
  <si>
    <t>Position Tolerance</t>
  </si>
  <si>
    <t xml:space="preserve">Min </t>
  </si>
  <si>
    <t xml:space="preserve">Max </t>
  </si>
  <si>
    <t>Positional Tolerance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</si>
</sst>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0" fillId="0" borderId="1" xfId="0" applyBorder="1" applyProtection="1"/>
    <xf numFmtId="0" fontId="0" fillId="3" borderId="1" xfId="0" applyFill="1" applyBorder="1" applyProtection="1"/>
    <xf numFmtId="0" fontId="0" fillId="2" borderId="1" xfId="0" applyFill="1" applyBorder="1" applyProtection="1"/>
    <xf numFmtId="0" fontId="0" fillId="4" borderId="1" xfId="0" applyFill="1" applyBorder="1" applyProtection="1"/>
    <xf numFmtId="0" fontId="0" fillId="0" borderId="1" xfId="0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/>
    </xf>
    <xf numFmtId="0" fontId="1" fillId="2" borderId="1" xfId="0" applyFont="1" applyFill="1" applyBorder="1" applyAlignment="1" applyProtection="1">
      <alignment horizontal="right" vertical="center"/>
    </xf>
    <xf numFmtId="0" fontId="0" fillId="4" borderId="1" xfId="0" quotePrefix="1" applyFill="1" applyBorder="1" applyAlignment="1" applyProtection="1">
      <alignment horizontal="right"/>
    </xf>
    <xf numFmtId="0" fontId="0" fillId="4" borderId="1" xfId="0" applyFill="1" applyBorder="1" applyAlignment="1" applyProtection="1">
      <alignment horizontal="right"/>
    </xf>
    <xf numFmtId="17" fontId="4" fillId="3" borderId="1" xfId="0" quotePrefix="1" applyNumberFormat="1" applyFont="1" applyFill="1" applyBorder="1" applyAlignment="1" applyProtection="1">
      <alignment horizontal="right"/>
    </xf>
    <xf numFmtId="0" fontId="0" fillId="0" borderId="1" xfId="0" applyFill="1" applyBorder="1" applyAlignment="1" applyProtection="1">
      <alignment horizontal="right" vertical="center"/>
    </xf>
    <xf numFmtId="0" fontId="0" fillId="0" borderId="1" xfId="0" quotePrefix="1" applyBorder="1" applyAlignment="1" applyProtection="1">
      <alignment horizontal="right" vertical="center"/>
    </xf>
    <xf numFmtId="17" fontId="1" fillId="2" borderId="1" xfId="0" quotePrefix="1" applyNumberFormat="1" applyFont="1" applyFill="1" applyBorder="1" applyAlignment="1" applyProtection="1">
      <alignment horizontal="right" vertical="center"/>
    </xf>
    <xf numFmtId="0" fontId="4" fillId="3" borderId="1" xfId="0" quotePrefix="1" applyFont="1" applyFill="1" applyBorder="1" applyAlignment="1" applyProtection="1">
      <alignment horizontal="right"/>
    </xf>
    <xf numFmtId="0" fontId="1" fillId="2" borderId="1" xfId="0" quotePrefix="1" applyFont="1" applyFill="1" applyBorder="1" applyAlignment="1" applyProtection="1">
      <alignment horizontal="right" vertical="center"/>
    </xf>
    <xf numFmtId="0" fontId="1" fillId="0" borderId="1" xfId="0" quotePrefix="1" applyFont="1" applyBorder="1" applyAlignment="1" applyProtection="1">
      <alignment horizontal="right" vertical="center"/>
    </xf>
    <xf numFmtId="0" fontId="2" fillId="0" borderId="1" xfId="0" quotePrefix="1" applyFont="1" applyBorder="1" applyAlignment="1" applyProtection="1">
      <alignment horizontal="right" vertical="center"/>
    </xf>
    <xf numFmtId="0" fontId="0" fillId="0" borderId="1" xfId="0" applyNumberFormat="1" applyBorder="1" applyProtection="1"/>
    <xf numFmtId="13" fontId="4" fillId="3" borderId="1" xfId="0" quotePrefix="1" applyNumberFormat="1" applyFont="1" applyFill="1" applyBorder="1" applyAlignment="1" applyProtection="1">
      <alignment horizontal="right"/>
    </xf>
    <xf numFmtId="0" fontId="2" fillId="0" borderId="1" xfId="0" quotePrefix="1" applyFont="1" applyBorder="1" applyAlignment="1" applyProtection="1">
      <alignment horizontal="right" vertical="center" wrapText="1"/>
    </xf>
    <xf numFmtId="0" fontId="2" fillId="0" borderId="1" xfId="0" quotePrefix="1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Metric!$B$1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5.6685738503920325E-3"/>
                  <c:y val="-9.02235725969036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Metric!$A$4:$A$27</c:f>
              <c:numCache>
                <c:formatCode>General</c:formatCode>
                <c:ptCount val="24"/>
                <c:pt idx="0">
                  <c:v>1.6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30</c:v>
                </c:pt>
                <c:pt idx="15">
                  <c:v>36</c:v>
                </c:pt>
                <c:pt idx="16">
                  <c:v>42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  <c:pt idx="20">
                  <c:v>72</c:v>
                </c:pt>
                <c:pt idx="21">
                  <c:v>80</c:v>
                </c:pt>
                <c:pt idx="22">
                  <c:v>90</c:v>
                </c:pt>
                <c:pt idx="23">
                  <c:v>100</c:v>
                </c:pt>
              </c:numCache>
            </c:numRef>
          </c:xVal>
          <c:yVal>
            <c:numRef>
              <c:f>Metric!$G$4:$G$27</c:f>
              <c:numCache>
                <c:formatCode>General</c:formatCode>
                <c:ptCount val="24"/>
                <c:pt idx="0">
                  <c:v>7.4999999999999956E-2</c:v>
                </c:pt>
                <c:pt idx="1">
                  <c:v>0.125</c:v>
                </c:pt>
                <c:pt idx="2">
                  <c:v>0.125</c:v>
                </c:pt>
                <c:pt idx="3">
                  <c:v>0.13</c:v>
                </c:pt>
                <c:pt idx="4">
                  <c:v>0.17999999999999994</c:v>
                </c:pt>
                <c:pt idx="5">
                  <c:v>0.17999999999999994</c:v>
                </c:pt>
                <c:pt idx="6">
                  <c:v>0.23750000000000004</c:v>
                </c:pt>
                <c:pt idx="7">
                  <c:v>0.23750000000000027</c:v>
                </c:pt>
                <c:pt idx="8">
                  <c:v>0.29499999999999993</c:v>
                </c:pt>
                <c:pt idx="9">
                  <c:v>0.54499999999999993</c:v>
                </c:pt>
                <c:pt idx="10">
                  <c:v>0.54499999999999993</c:v>
                </c:pt>
                <c:pt idx="11">
                  <c:v>0.54499999999999993</c:v>
                </c:pt>
                <c:pt idx="12">
                  <c:v>0.55250000000000021</c:v>
                </c:pt>
                <c:pt idx="13">
                  <c:v>0.55250000000000021</c:v>
                </c:pt>
                <c:pt idx="14">
                  <c:v>0.5625</c:v>
                </c:pt>
                <c:pt idx="15">
                  <c:v>0.5625</c:v>
                </c:pt>
                <c:pt idx="16">
                  <c:v>0.5625</c:v>
                </c:pt>
                <c:pt idx="17">
                  <c:v>1.0625</c:v>
                </c:pt>
                <c:pt idx="18">
                  <c:v>1.0749999999999993</c:v>
                </c:pt>
                <c:pt idx="19">
                  <c:v>1.0749999999999993</c:v>
                </c:pt>
                <c:pt idx="20">
                  <c:v>1.0749999999999993</c:v>
                </c:pt>
                <c:pt idx="21">
                  <c:v>1.0874999999999986</c:v>
                </c:pt>
                <c:pt idx="22">
                  <c:v>1.5874999999999986</c:v>
                </c:pt>
                <c:pt idx="23">
                  <c:v>2.0874999999999986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05-4382-A5AD-A114278894F2}"/>
            </c:ext>
          </c:extLst>
        </c:ser>
        <c:ser>
          <c:idx val="0"/>
          <c:order val="1"/>
          <c:tx>
            <c:strRef>
              <c:f>Metric!$H$1</c:f>
              <c:strCache>
                <c:ptCount val="1"/>
                <c:pt idx="0">
                  <c:v>Normal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6.371897163120567E-3"/>
                  <c:y val="-4.25313343984175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Metric!$A$4:$A$27</c:f>
              <c:numCache>
                <c:formatCode>General</c:formatCode>
                <c:ptCount val="24"/>
                <c:pt idx="0">
                  <c:v>1.6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30</c:v>
                </c:pt>
                <c:pt idx="15">
                  <c:v>36</c:v>
                </c:pt>
                <c:pt idx="16">
                  <c:v>42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  <c:pt idx="20">
                  <c:v>72</c:v>
                </c:pt>
                <c:pt idx="21">
                  <c:v>80</c:v>
                </c:pt>
                <c:pt idx="22">
                  <c:v>90</c:v>
                </c:pt>
                <c:pt idx="23">
                  <c:v>100</c:v>
                </c:pt>
              </c:numCache>
            </c:numRef>
          </c:xVal>
          <c:yVal>
            <c:numRef>
              <c:f>Metric!$M$4:$M$27</c:f>
              <c:numCache>
                <c:formatCode>General</c:formatCode>
                <c:ptCount val="24"/>
                <c:pt idx="0">
                  <c:v>0.13499999999999995</c:v>
                </c:pt>
                <c:pt idx="1">
                  <c:v>0.23499999999999999</c:v>
                </c:pt>
                <c:pt idx="2">
                  <c:v>0.23499999999999999</c:v>
                </c:pt>
                <c:pt idx="3">
                  <c:v>0.245</c:v>
                </c:pt>
                <c:pt idx="4">
                  <c:v>0.29499999999999993</c:v>
                </c:pt>
                <c:pt idx="5">
                  <c:v>0.29499999999999993</c:v>
                </c:pt>
                <c:pt idx="6">
                  <c:v>0.35499999999999998</c:v>
                </c:pt>
                <c:pt idx="7">
                  <c:v>0.55500000000000016</c:v>
                </c:pt>
                <c:pt idx="8">
                  <c:v>0.56749999999999989</c:v>
                </c:pt>
                <c:pt idx="9">
                  <c:v>0.81749999999999989</c:v>
                </c:pt>
                <c:pt idx="10">
                  <c:v>0.81749999999999989</c:v>
                </c:pt>
                <c:pt idx="11">
                  <c:v>0.81749999999999989</c:v>
                </c:pt>
                <c:pt idx="12">
                  <c:v>1.0824999999999996</c:v>
                </c:pt>
                <c:pt idx="13">
                  <c:v>1.0824999999999996</c:v>
                </c:pt>
                <c:pt idx="14">
                  <c:v>1.5975000000000001</c:v>
                </c:pt>
                <c:pt idx="15">
                  <c:v>1.5975000000000001</c:v>
                </c:pt>
                <c:pt idx="16">
                  <c:v>1.5975000000000001</c:v>
                </c:pt>
                <c:pt idx="17">
                  <c:v>2.1150000000000002</c:v>
                </c:pt>
                <c:pt idx="18">
                  <c:v>3.1150000000000002</c:v>
                </c:pt>
                <c:pt idx="19">
                  <c:v>3.1149999999999984</c:v>
                </c:pt>
                <c:pt idx="20">
                  <c:v>3.1149999999999984</c:v>
                </c:pt>
                <c:pt idx="21">
                  <c:v>3.1350000000000016</c:v>
                </c:pt>
                <c:pt idx="22">
                  <c:v>3.1350000000000016</c:v>
                </c:pt>
                <c:pt idx="23">
                  <c:v>3.6350000000000016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05-4382-A5AD-A114278894F2}"/>
            </c:ext>
          </c:extLst>
        </c:ser>
        <c:ser>
          <c:idx val="2"/>
          <c:order val="2"/>
          <c:tx>
            <c:strRef>
              <c:f>Metric!$N$1</c:f>
              <c:strCache>
                <c:ptCount val="1"/>
                <c:pt idx="0">
                  <c:v>Loose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6.371897163120567E-3"/>
                  <c:y val="-3.88063924074708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Metric!$A$4:$A$27</c:f>
              <c:numCache>
                <c:formatCode>General</c:formatCode>
                <c:ptCount val="24"/>
                <c:pt idx="0">
                  <c:v>1.6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20</c:v>
                </c:pt>
                <c:pt idx="13">
                  <c:v>24</c:v>
                </c:pt>
                <c:pt idx="14">
                  <c:v>30</c:v>
                </c:pt>
                <c:pt idx="15">
                  <c:v>36</c:v>
                </c:pt>
                <c:pt idx="16">
                  <c:v>42</c:v>
                </c:pt>
                <c:pt idx="17">
                  <c:v>48</c:v>
                </c:pt>
                <c:pt idx="18">
                  <c:v>56</c:v>
                </c:pt>
                <c:pt idx="19">
                  <c:v>64</c:v>
                </c:pt>
                <c:pt idx="20">
                  <c:v>72</c:v>
                </c:pt>
                <c:pt idx="21">
                  <c:v>80</c:v>
                </c:pt>
                <c:pt idx="22">
                  <c:v>90</c:v>
                </c:pt>
                <c:pt idx="23">
                  <c:v>100</c:v>
                </c:pt>
              </c:numCache>
            </c:numRef>
          </c:xVal>
          <c:yVal>
            <c:numRef>
              <c:f>Metric!$S$4:$S$27</c:f>
              <c:numCache>
                <c:formatCode>General</c:formatCode>
                <c:ptCount val="24"/>
                <c:pt idx="0">
                  <c:v>0.26249999999999996</c:v>
                </c:pt>
                <c:pt idx="1">
                  <c:v>0.36250000000000004</c:v>
                </c:pt>
                <c:pt idx="2">
                  <c:v>0.375</c:v>
                </c:pt>
                <c:pt idx="3">
                  <c:v>0.375</c:v>
                </c:pt>
                <c:pt idx="4">
                  <c:v>0.47499999999999987</c:v>
                </c:pt>
                <c:pt idx="5">
                  <c:v>0.47499999999999987</c:v>
                </c:pt>
                <c:pt idx="6">
                  <c:v>0.59000000000000008</c:v>
                </c:pt>
                <c:pt idx="7">
                  <c:v>1.0899999999999999</c:v>
                </c:pt>
                <c:pt idx="8">
                  <c:v>1.1074999999999999</c:v>
                </c:pt>
                <c:pt idx="9">
                  <c:v>1.3574999999999999</c:v>
                </c:pt>
                <c:pt idx="10">
                  <c:v>1.3574999999999999</c:v>
                </c:pt>
                <c:pt idx="11">
                  <c:v>1.38</c:v>
                </c:pt>
                <c:pt idx="12">
                  <c:v>2.13</c:v>
                </c:pt>
                <c:pt idx="13">
                  <c:v>2.13</c:v>
                </c:pt>
                <c:pt idx="14">
                  <c:v>2.6549999999999994</c:v>
                </c:pt>
                <c:pt idx="15">
                  <c:v>3.1549999999999994</c:v>
                </c:pt>
                <c:pt idx="16">
                  <c:v>3.1549999999999994</c:v>
                </c:pt>
                <c:pt idx="17">
                  <c:v>4.1850000000000005</c:v>
                </c:pt>
                <c:pt idx="18">
                  <c:v>5.1849999999999987</c:v>
                </c:pt>
                <c:pt idx="19">
                  <c:v>5.1849999999999987</c:v>
                </c:pt>
                <c:pt idx="20">
                  <c:v>5.2175000000000011</c:v>
                </c:pt>
                <c:pt idx="21">
                  <c:v>5.7175000000000011</c:v>
                </c:pt>
                <c:pt idx="22">
                  <c:v>5.7175000000000011</c:v>
                </c:pt>
                <c:pt idx="23">
                  <c:v>6.2175000000000011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05-4382-A5AD-A11427889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721327"/>
        <c:axId val="1060717583"/>
      </c:scatterChart>
      <c:valAx>
        <c:axId val="10607213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Nominal Screw Size (mm)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17583"/>
        <c:crosses val="autoZero"/>
        <c:crossBetween val="midCat"/>
      </c:valAx>
      <c:valAx>
        <c:axId val="106071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Position Tolerance (mm)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2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Imperial!$C$1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5.2637411347517728E-3"/>
                  <c:y val="-4.61614173228346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Imperial!$B$4:$B$25</c:f>
              <c:numCache>
                <c:formatCode>General</c:formatCode>
                <c:ptCount val="22"/>
                <c:pt idx="0">
                  <c:v>0.06</c:v>
                </c:pt>
                <c:pt idx="1">
                  <c:v>7.2999999999999995E-2</c:v>
                </c:pt>
                <c:pt idx="2">
                  <c:v>8.5999999999999993E-2</c:v>
                </c:pt>
                <c:pt idx="3">
                  <c:v>9.9000000000000005E-2</c:v>
                </c:pt>
                <c:pt idx="4">
                  <c:v>0.112</c:v>
                </c:pt>
                <c:pt idx="5">
                  <c:v>0.125</c:v>
                </c:pt>
                <c:pt idx="6">
                  <c:v>0.13800000000000001</c:v>
                </c:pt>
                <c:pt idx="7">
                  <c:v>0.16400000000000001</c:v>
                </c:pt>
                <c:pt idx="8">
                  <c:v>0.19</c:v>
                </c:pt>
                <c:pt idx="9">
                  <c:v>0.25</c:v>
                </c:pt>
                <c:pt idx="10">
                  <c:v>0.3125</c:v>
                </c:pt>
                <c:pt idx="11">
                  <c:v>0.375</c:v>
                </c:pt>
                <c:pt idx="12">
                  <c:v>0.4375</c:v>
                </c:pt>
                <c:pt idx="13">
                  <c:v>0.5</c:v>
                </c:pt>
                <c:pt idx="14">
                  <c:v>0.625</c:v>
                </c:pt>
                <c:pt idx="15">
                  <c:v>0.75</c:v>
                </c:pt>
                <c:pt idx="16">
                  <c:v>0.875</c:v>
                </c:pt>
                <c:pt idx="17">
                  <c:v>1</c:v>
                </c:pt>
                <c:pt idx="18">
                  <c:v>1.125</c:v>
                </c:pt>
                <c:pt idx="19">
                  <c:v>1.25</c:v>
                </c:pt>
                <c:pt idx="20">
                  <c:v>1.375</c:v>
                </c:pt>
                <c:pt idx="21">
                  <c:v>1.5</c:v>
                </c:pt>
              </c:numCache>
            </c:numRef>
          </c:xVal>
          <c:yVal>
            <c:numRef>
              <c:f>Imperial!$I$4:$I$25</c:f>
              <c:numCache>
                <c:formatCode>General</c:formatCode>
                <c:ptCount val="22"/>
                <c:pt idx="0">
                  <c:v>9.0000000000000011E-3</c:v>
                </c:pt>
                <c:pt idx="1">
                  <c:v>1.0000000000000009E-2</c:v>
                </c:pt>
                <c:pt idx="2">
                  <c:v>1.0000000000000009E-2</c:v>
                </c:pt>
                <c:pt idx="3">
                  <c:v>8.9999999999999941E-3</c:v>
                </c:pt>
                <c:pt idx="4">
                  <c:v>9.999999999999995E-3</c:v>
                </c:pt>
                <c:pt idx="5">
                  <c:v>1.8499999999999989E-2</c:v>
                </c:pt>
                <c:pt idx="6">
                  <c:v>1.8499999999999989E-2</c:v>
                </c:pt>
                <c:pt idx="7">
                  <c:v>1.8499999999999989E-2</c:v>
                </c:pt>
                <c:pt idx="8">
                  <c:v>1.8499999999999989E-2</c:v>
                </c:pt>
                <c:pt idx="9">
                  <c:v>1.9000000000000017E-2</c:v>
                </c:pt>
                <c:pt idx="10">
                  <c:v>1.8500000000000016E-2</c:v>
                </c:pt>
                <c:pt idx="11">
                  <c:v>1.9000000000000017E-2</c:v>
                </c:pt>
                <c:pt idx="12">
                  <c:v>1.9000000000000017E-2</c:v>
                </c:pt>
                <c:pt idx="13">
                  <c:v>3.4500000000000031E-2</c:v>
                </c:pt>
                <c:pt idx="14">
                  <c:v>3.4500000000000031E-2</c:v>
                </c:pt>
                <c:pt idx="15">
                  <c:v>3.5000000000000031E-2</c:v>
                </c:pt>
                <c:pt idx="16">
                  <c:v>3.5000000000000031E-2</c:v>
                </c:pt>
                <c:pt idx="17">
                  <c:v>3.499999999999992E-2</c:v>
                </c:pt>
                <c:pt idx="18">
                  <c:v>3.499999999999992E-2</c:v>
                </c:pt>
                <c:pt idx="19">
                  <c:v>3.5999999999999921E-2</c:v>
                </c:pt>
                <c:pt idx="20">
                  <c:v>6.7999999999999949E-2</c:v>
                </c:pt>
                <c:pt idx="21">
                  <c:v>6.700000000000006E-2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2-4A74-88CB-82BD14FBD120}"/>
            </c:ext>
          </c:extLst>
        </c:ser>
        <c:ser>
          <c:idx val="0"/>
          <c:order val="1"/>
          <c:tx>
            <c:strRef>
              <c:f>Imperial!$J$1</c:f>
              <c:strCache>
                <c:ptCount val="1"/>
                <c:pt idx="0">
                  <c:v>Normal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6.371897163120567E-3"/>
                  <c:y val="-4.25313343984175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Imperial!$B$4:$B$25</c:f>
              <c:numCache>
                <c:formatCode>General</c:formatCode>
                <c:ptCount val="22"/>
                <c:pt idx="0">
                  <c:v>0.06</c:v>
                </c:pt>
                <c:pt idx="1">
                  <c:v>7.2999999999999995E-2</c:v>
                </c:pt>
                <c:pt idx="2">
                  <c:v>8.5999999999999993E-2</c:v>
                </c:pt>
                <c:pt idx="3">
                  <c:v>9.9000000000000005E-2</c:v>
                </c:pt>
                <c:pt idx="4">
                  <c:v>0.112</c:v>
                </c:pt>
                <c:pt idx="5">
                  <c:v>0.125</c:v>
                </c:pt>
                <c:pt idx="6">
                  <c:v>0.13800000000000001</c:v>
                </c:pt>
                <c:pt idx="7">
                  <c:v>0.16400000000000001</c:v>
                </c:pt>
                <c:pt idx="8">
                  <c:v>0.19</c:v>
                </c:pt>
                <c:pt idx="9">
                  <c:v>0.25</c:v>
                </c:pt>
                <c:pt idx="10">
                  <c:v>0.3125</c:v>
                </c:pt>
                <c:pt idx="11">
                  <c:v>0.375</c:v>
                </c:pt>
                <c:pt idx="12">
                  <c:v>0.4375</c:v>
                </c:pt>
                <c:pt idx="13">
                  <c:v>0.5</c:v>
                </c:pt>
                <c:pt idx="14">
                  <c:v>0.625</c:v>
                </c:pt>
                <c:pt idx="15">
                  <c:v>0.75</c:v>
                </c:pt>
                <c:pt idx="16">
                  <c:v>0.875</c:v>
                </c:pt>
                <c:pt idx="17">
                  <c:v>1</c:v>
                </c:pt>
                <c:pt idx="18">
                  <c:v>1.125</c:v>
                </c:pt>
                <c:pt idx="19">
                  <c:v>1.25</c:v>
                </c:pt>
                <c:pt idx="20">
                  <c:v>1.375</c:v>
                </c:pt>
                <c:pt idx="21">
                  <c:v>1.5</c:v>
                </c:pt>
              </c:numCache>
            </c:numRef>
          </c:xVal>
          <c:yVal>
            <c:numRef>
              <c:f>Imperial!$P$4:$P$25</c:f>
              <c:numCache>
                <c:formatCode>General</c:formatCode>
                <c:ptCount val="22"/>
                <c:pt idx="0">
                  <c:v>1.9000000000000003E-2</c:v>
                </c:pt>
                <c:pt idx="1">
                  <c:v>1.9000000000000003E-2</c:v>
                </c:pt>
                <c:pt idx="2">
                  <c:v>1.9000000000000003E-2</c:v>
                </c:pt>
                <c:pt idx="3">
                  <c:v>1.9999999999999997E-2</c:v>
                </c:pt>
                <c:pt idx="4">
                  <c:v>1.9500000000000003E-2</c:v>
                </c:pt>
                <c:pt idx="5">
                  <c:v>3.4500000000000003E-2</c:v>
                </c:pt>
                <c:pt idx="6">
                  <c:v>3.549999999999999E-2</c:v>
                </c:pt>
                <c:pt idx="7">
                  <c:v>3.5500000000000004E-2</c:v>
                </c:pt>
                <c:pt idx="8">
                  <c:v>3.4500000000000003E-2</c:v>
                </c:pt>
                <c:pt idx="9">
                  <c:v>3.5500000000000004E-2</c:v>
                </c:pt>
                <c:pt idx="10">
                  <c:v>3.6499999999999977E-2</c:v>
                </c:pt>
                <c:pt idx="11">
                  <c:v>3.6000000000000004E-2</c:v>
                </c:pt>
                <c:pt idx="12">
                  <c:v>3.6499999999999977E-2</c:v>
                </c:pt>
                <c:pt idx="13">
                  <c:v>6.7000000000000004E-2</c:v>
                </c:pt>
                <c:pt idx="14">
                  <c:v>6.7999999999999949E-2</c:v>
                </c:pt>
                <c:pt idx="15">
                  <c:v>6.8000000000000005E-2</c:v>
                </c:pt>
                <c:pt idx="16">
                  <c:v>6.899999999999995E-2</c:v>
                </c:pt>
                <c:pt idx="17">
                  <c:v>0.10000000000000009</c:v>
                </c:pt>
                <c:pt idx="18">
                  <c:v>0.10200000000000009</c:v>
                </c:pt>
                <c:pt idx="19">
                  <c:v>0.10200000000000009</c:v>
                </c:pt>
                <c:pt idx="20">
                  <c:v>0.13300000000000001</c:v>
                </c:pt>
                <c:pt idx="21">
                  <c:v>0.13300000000000001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E2-4A74-88CB-82BD14FBD120}"/>
            </c:ext>
          </c:extLst>
        </c:ser>
        <c:ser>
          <c:idx val="2"/>
          <c:order val="2"/>
          <c:tx>
            <c:strRef>
              <c:f>Imperial!$Q$1</c:f>
              <c:strCache>
                <c:ptCount val="1"/>
                <c:pt idx="0">
                  <c:v>Loose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6.371897163120567E-3"/>
                  <c:y val="-3.88063924074708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Imperial!$B$4:$B$25</c:f>
              <c:numCache>
                <c:formatCode>General</c:formatCode>
                <c:ptCount val="22"/>
                <c:pt idx="0">
                  <c:v>0.06</c:v>
                </c:pt>
                <c:pt idx="1">
                  <c:v>7.2999999999999995E-2</c:v>
                </c:pt>
                <c:pt idx="2">
                  <c:v>8.5999999999999993E-2</c:v>
                </c:pt>
                <c:pt idx="3">
                  <c:v>9.9000000000000005E-2</c:v>
                </c:pt>
                <c:pt idx="4">
                  <c:v>0.112</c:v>
                </c:pt>
                <c:pt idx="5">
                  <c:v>0.125</c:v>
                </c:pt>
                <c:pt idx="6">
                  <c:v>0.13800000000000001</c:v>
                </c:pt>
                <c:pt idx="7">
                  <c:v>0.16400000000000001</c:v>
                </c:pt>
                <c:pt idx="8">
                  <c:v>0.19</c:v>
                </c:pt>
                <c:pt idx="9">
                  <c:v>0.25</c:v>
                </c:pt>
                <c:pt idx="10">
                  <c:v>0.3125</c:v>
                </c:pt>
                <c:pt idx="11">
                  <c:v>0.375</c:v>
                </c:pt>
                <c:pt idx="12">
                  <c:v>0.4375</c:v>
                </c:pt>
                <c:pt idx="13">
                  <c:v>0.5</c:v>
                </c:pt>
                <c:pt idx="14">
                  <c:v>0.625</c:v>
                </c:pt>
                <c:pt idx="15">
                  <c:v>0.75</c:v>
                </c:pt>
                <c:pt idx="16">
                  <c:v>0.875</c:v>
                </c:pt>
                <c:pt idx="17">
                  <c:v>1</c:v>
                </c:pt>
                <c:pt idx="18">
                  <c:v>1.125</c:v>
                </c:pt>
                <c:pt idx="19">
                  <c:v>1.25</c:v>
                </c:pt>
                <c:pt idx="20">
                  <c:v>1.375</c:v>
                </c:pt>
                <c:pt idx="21">
                  <c:v>1.5</c:v>
                </c:pt>
              </c:numCache>
            </c:numRef>
          </c:xVal>
          <c:yVal>
            <c:numRef>
              <c:f>Imperial!$W$4:$W$25</c:f>
              <c:numCache>
                <c:formatCode>General</c:formatCode>
                <c:ptCount val="22"/>
                <c:pt idx="0">
                  <c:v>3.9E-2</c:v>
                </c:pt>
                <c:pt idx="1">
                  <c:v>3.6000000000000004E-2</c:v>
                </c:pt>
                <c:pt idx="2">
                  <c:v>3.500000000000001E-2</c:v>
                </c:pt>
                <c:pt idx="3">
                  <c:v>3.5000000000000003E-2</c:v>
                </c:pt>
                <c:pt idx="4">
                  <c:v>3.7999999999999992E-2</c:v>
                </c:pt>
                <c:pt idx="5">
                  <c:v>5.2999999999999992E-2</c:v>
                </c:pt>
                <c:pt idx="6">
                  <c:v>5.2999999999999992E-2</c:v>
                </c:pt>
                <c:pt idx="7">
                  <c:v>5.4999999999999993E-2</c:v>
                </c:pt>
                <c:pt idx="8">
                  <c:v>5.3999999999999992E-2</c:v>
                </c:pt>
                <c:pt idx="9">
                  <c:v>5.3999999999999992E-2</c:v>
                </c:pt>
                <c:pt idx="10">
                  <c:v>5.3499999999999992E-2</c:v>
                </c:pt>
                <c:pt idx="11">
                  <c:v>5.4999999999999993E-2</c:v>
                </c:pt>
                <c:pt idx="12">
                  <c:v>5.4499999999999993E-2</c:v>
                </c:pt>
                <c:pt idx="13">
                  <c:v>0.11699999999999999</c:v>
                </c:pt>
                <c:pt idx="14">
                  <c:v>0.11899999999999999</c:v>
                </c:pt>
                <c:pt idx="15">
                  <c:v>0.16600000000000004</c:v>
                </c:pt>
                <c:pt idx="16">
                  <c:v>0.16599999999999993</c:v>
                </c:pt>
                <c:pt idx="17">
                  <c:v>0.16849999999999998</c:v>
                </c:pt>
                <c:pt idx="18">
                  <c:v>0.19950000000000001</c:v>
                </c:pt>
                <c:pt idx="19">
                  <c:v>0.20050000000000001</c:v>
                </c:pt>
                <c:pt idx="20">
                  <c:v>0.24649999999999994</c:v>
                </c:pt>
                <c:pt idx="21">
                  <c:v>0.24649999999999994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E2-4A74-88CB-82BD14FBD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721327"/>
        <c:axId val="1060717583"/>
      </c:scatterChart>
      <c:valAx>
        <c:axId val="1060721327"/>
        <c:scaling>
          <c:orientation val="minMax"/>
          <c:max val="1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Nominal Screw Size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17583"/>
        <c:crosses val="autoZero"/>
        <c:crossBetween val="midCat"/>
        <c:majorUnit val="5.000000000000001E-2"/>
      </c:valAx>
      <c:valAx>
        <c:axId val="106071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Position Tolerance (in)</a:t>
                </a:r>
                <a:r>
                  <a:rPr lang="en-US" sz="1000" b="0" i="0" u="none" strike="noStrike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72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15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15</xdr:col>
      <xdr:colOff>0</xdr:colOff>
      <xdr:row>48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7"/>
  <sheetViews>
    <sheetView tabSelected="1" workbookViewId="0">
      <pane xSplit="1" topLeftCell="B1" activePane="topRight" state="frozen"/>
      <selection pane="topRight"/>
    </sheetView>
  </sheetViews>
  <sheetFormatPr defaultRowHeight="14.4" x14ac:dyDescent="0.3"/>
  <cols>
    <col min="1" max="1" width="17.44140625" style="3" bestFit="1" customWidth="1"/>
    <col min="2" max="2" width="15.5546875" style="3" bestFit="1" customWidth="1"/>
    <col min="3" max="6" width="8.88671875" style="3" customWidth="1"/>
    <col min="7" max="7" width="16.5546875" style="3" bestFit="1" customWidth="1"/>
    <col min="8" max="8" width="15.5546875" style="3" bestFit="1" customWidth="1"/>
    <col min="9" max="12" width="8.88671875" style="3" customWidth="1"/>
    <col min="13" max="13" width="16.5546875" style="3" customWidth="1"/>
    <col min="14" max="14" width="15.5546875" style="3" bestFit="1" customWidth="1"/>
    <col min="15" max="18" width="8.88671875" style="3" customWidth="1"/>
    <col min="19" max="19" width="16.5546875" style="3" customWidth="1"/>
    <col min="20" max="21" width="8.88671875" style="3"/>
    <col min="22" max="22" width="17.44140625" style="3" bestFit="1" customWidth="1"/>
    <col min="23" max="16384" width="8.88671875" style="3"/>
  </cols>
  <sheetData>
    <row r="1" spans="1:25" s="1" customFormat="1" x14ac:dyDescent="0.3">
      <c r="A1" s="4"/>
      <c r="B1" s="40" t="s">
        <v>4</v>
      </c>
      <c r="C1" s="41"/>
      <c r="D1" s="41"/>
      <c r="E1" s="41"/>
      <c r="F1" s="41"/>
      <c r="G1" s="42"/>
      <c r="H1" s="43" t="s">
        <v>0</v>
      </c>
      <c r="I1" s="44"/>
      <c r="J1" s="44"/>
      <c r="K1" s="44"/>
      <c r="L1" s="44"/>
      <c r="M1" s="45"/>
      <c r="N1" s="46" t="s">
        <v>5</v>
      </c>
      <c r="O1" s="47"/>
      <c r="P1" s="47"/>
      <c r="Q1" s="47"/>
      <c r="R1" s="47"/>
      <c r="S1" s="48"/>
      <c r="V1" s="12"/>
      <c r="W1" s="36" t="s">
        <v>85</v>
      </c>
      <c r="X1" s="36"/>
      <c r="Y1" s="36"/>
    </row>
    <row r="2" spans="1:25" s="1" customFormat="1" x14ac:dyDescent="0.3">
      <c r="A2" s="4"/>
      <c r="B2" s="5"/>
      <c r="C2" s="37" t="s">
        <v>84</v>
      </c>
      <c r="D2" s="37"/>
      <c r="E2" s="40" t="s">
        <v>85</v>
      </c>
      <c r="F2" s="42"/>
      <c r="G2" s="5"/>
      <c r="H2" s="6"/>
      <c r="I2" s="38" t="s">
        <v>84</v>
      </c>
      <c r="J2" s="38"/>
      <c r="K2" s="43" t="s">
        <v>85</v>
      </c>
      <c r="L2" s="45"/>
      <c r="M2" s="31"/>
      <c r="N2" s="7"/>
      <c r="O2" s="39" t="s">
        <v>84</v>
      </c>
      <c r="P2" s="39"/>
      <c r="Q2" s="46" t="s">
        <v>85</v>
      </c>
      <c r="R2" s="48"/>
      <c r="S2" s="32"/>
      <c r="V2" s="4" t="s">
        <v>1</v>
      </c>
      <c r="W2" s="4" t="s">
        <v>4</v>
      </c>
      <c r="X2" s="4" t="s">
        <v>0</v>
      </c>
      <c r="Y2" s="4" t="s">
        <v>5</v>
      </c>
    </row>
    <row r="3" spans="1:25" s="1" customFormat="1" x14ac:dyDescent="0.3">
      <c r="A3" s="4" t="s">
        <v>1</v>
      </c>
      <c r="B3" s="5" t="s">
        <v>6</v>
      </c>
      <c r="C3" s="5" t="s">
        <v>2</v>
      </c>
      <c r="D3" s="5" t="s">
        <v>3</v>
      </c>
      <c r="E3" s="5" t="s">
        <v>87</v>
      </c>
      <c r="F3" s="5" t="s">
        <v>88</v>
      </c>
      <c r="G3" s="5" t="s">
        <v>86</v>
      </c>
      <c r="H3" s="6" t="s">
        <v>6</v>
      </c>
      <c r="I3" s="6" t="s">
        <v>2</v>
      </c>
      <c r="J3" s="6" t="s">
        <v>3</v>
      </c>
      <c r="K3" s="6" t="s">
        <v>87</v>
      </c>
      <c r="L3" s="6" t="s">
        <v>88</v>
      </c>
      <c r="M3" s="31" t="s">
        <v>86</v>
      </c>
      <c r="N3" s="7" t="s">
        <v>6</v>
      </c>
      <c r="O3" s="7" t="s">
        <v>2</v>
      </c>
      <c r="P3" s="7" t="s">
        <v>3</v>
      </c>
      <c r="Q3" s="7" t="s">
        <v>87</v>
      </c>
      <c r="R3" s="7" t="s">
        <v>88</v>
      </c>
      <c r="S3" s="32" t="s">
        <v>86</v>
      </c>
      <c r="V3" s="3">
        <v>8</v>
      </c>
      <c r="W3" s="3">
        <f xml:space="preserve"> metric_c_coefficient_close * V3^metric_b_coefficient_close</f>
        <v>0.63386705229418938</v>
      </c>
      <c r="X3" s="3">
        <f xml:space="preserve"> metric_c_coefficient_normal * V3^metric_b_coefficient_normal</f>
        <v>1.1741741761401385</v>
      </c>
      <c r="Y3" s="3">
        <f xml:space="preserve"> metric_c_coefficient_loose * V3^metric_b_coefficient_loose</f>
        <v>2.0324911075493586</v>
      </c>
    </row>
    <row r="4" spans="1:25" x14ac:dyDescent="0.3">
      <c r="A4" s="8">
        <v>1.6</v>
      </c>
      <c r="B4" s="9">
        <v>1.7</v>
      </c>
      <c r="C4" s="9">
        <v>1.7</v>
      </c>
      <c r="D4" s="9">
        <v>1.8</v>
      </c>
      <c r="E4" s="9">
        <f xml:space="preserve"> C4 - $A4</f>
        <v>9.9999999999999867E-2</v>
      </c>
      <c r="F4" s="9">
        <f xml:space="preserve"> D4 - $A4</f>
        <v>0.19999999999999996</v>
      </c>
      <c r="G4" s="9">
        <f xml:space="preserve"> AVERAGE(E4:F4) / 2</f>
        <v>7.4999999999999956E-2</v>
      </c>
      <c r="H4" s="10">
        <v>1.8</v>
      </c>
      <c r="I4" s="10">
        <v>1.8</v>
      </c>
      <c r="J4" s="10">
        <v>1.94</v>
      </c>
      <c r="K4" s="10">
        <f xml:space="preserve"> I4 - $A4</f>
        <v>0.19999999999999996</v>
      </c>
      <c r="L4" s="10">
        <f xml:space="preserve"> J4 - $A4</f>
        <v>0.33999999999999986</v>
      </c>
      <c r="M4" s="10">
        <f xml:space="preserve"> AVERAGE(K4:L4) / 2</f>
        <v>0.13499999999999995</v>
      </c>
      <c r="N4" s="11">
        <v>2</v>
      </c>
      <c r="O4" s="11">
        <v>2</v>
      </c>
      <c r="P4" s="11">
        <v>2.25</v>
      </c>
      <c r="Q4" s="11">
        <f xml:space="preserve"> O4 - $A4</f>
        <v>0.39999999999999991</v>
      </c>
      <c r="R4" s="11">
        <f xml:space="preserve"> P4 - $A4</f>
        <v>0.64999999999999991</v>
      </c>
      <c r="S4" s="11">
        <f xml:space="preserve"> AVERAGE(Q4:R4) / 2</f>
        <v>0.26249999999999996</v>
      </c>
    </row>
    <row r="5" spans="1:25" x14ac:dyDescent="0.3">
      <c r="A5" s="8">
        <v>2</v>
      </c>
      <c r="B5" s="9">
        <v>2.2000000000000002</v>
      </c>
      <c r="C5" s="9">
        <v>2.2000000000000002</v>
      </c>
      <c r="D5" s="9">
        <v>2.2999999999999998</v>
      </c>
      <c r="E5" s="9">
        <f t="shared" ref="E5:E27" si="0" xml:space="preserve"> C5 - $A5</f>
        <v>0.20000000000000018</v>
      </c>
      <c r="F5" s="9">
        <f t="shared" ref="F5:F27" si="1" xml:space="preserve"> D5 - $A5</f>
        <v>0.29999999999999982</v>
      </c>
      <c r="G5" s="9">
        <f t="shared" ref="G5:G27" si="2" xml:space="preserve"> AVERAGE(E5:F5) / 2</f>
        <v>0.125</v>
      </c>
      <c r="H5" s="10">
        <v>2.4</v>
      </c>
      <c r="I5" s="10">
        <v>2.4</v>
      </c>
      <c r="J5" s="10">
        <v>2.54</v>
      </c>
      <c r="K5" s="10">
        <f t="shared" ref="K5:K27" si="3" xml:space="preserve"> I5 - $A5</f>
        <v>0.39999999999999991</v>
      </c>
      <c r="L5" s="10">
        <f t="shared" ref="L5:L27" si="4" xml:space="preserve"> J5 - $A5</f>
        <v>0.54</v>
      </c>
      <c r="M5" s="10">
        <f t="shared" ref="M5:M27" si="5" xml:space="preserve"> AVERAGE(K5:L5) / 2</f>
        <v>0.23499999999999999</v>
      </c>
      <c r="N5" s="11">
        <v>2.6</v>
      </c>
      <c r="O5" s="11">
        <v>2.6</v>
      </c>
      <c r="P5" s="11">
        <v>2.85</v>
      </c>
      <c r="Q5" s="11">
        <f t="shared" ref="Q5:Q27" si="6" xml:space="preserve"> O5 - $A5</f>
        <v>0.60000000000000009</v>
      </c>
      <c r="R5" s="11">
        <f t="shared" ref="R5:R27" si="7" xml:space="preserve"> P5 - $A5</f>
        <v>0.85000000000000009</v>
      </c>
      <c r="S5" s="11">
        <f t="shared" ref="S5:S27" si="8" xml:space="preserve"> AVERAGE(Q5:R5) / 2</f>
        <v>0.36250000000000004</v>
      </c>
    </row>
    <row r="6" spans="1:25" x14ac:dyDescent="0.3">
      <c r="A6" s="8">
        <v>2.5</v>
      </c>
      <c r="B6" s="9">
        <v>2.7</v>
      </c>
      <c r="C6" s="9">
        <v>2.7</v>
      </c>
      <c r="D6" s="9">
        <v>2.8</v>
      </c>
      <c r="E6" s="9">
        <f t="shared" si="0"/>
        <v>0.20000000000000018</v>
      </c>
      <c r="F6" s="9">
        <f t="shared" si="1"/>
        <v>0.29999999999999982</v>
      </c>
      <c r="G6" s="9">
        <f t="shared" si="2"/>
        <v>0.125</v>
      </c>
      <c r="H6" s="10">
        <v>2.9</v>
      </c>
      <c r="I6" s="10">
        <v>2.9</v>
      </c>
      <c r="J6" s="10">
        <v>3.04</v>
      </c>
      <c r="K6" s="10">
        <f t="shared" si="3"/>
        <v>0.39999999999999991</v>
      </c>
      <c r="L6" s="10">
        <f t="shared" si="4"/>
        <v>0.54</v>
      </c>
      <c r="M6" s="10">
        <f t="shared" si="5"/>
        <v>0.23499999999999999</v>
      </c>
      <c r="N6" s="11">
        <v>3.1</v>
      </c>
      <c r="O6" s="11">
        <v>3.1</v>
      </c>
      <c r="P6" s="11">
        <v>3.4</v>
      </c>
      <c r="Q6" s="11">
        <f t="shared" si="6"/>
        <v>0.60000000000000009</v>
      </c>
      <c r="R6" s="11">
        <f t="shared" si="7"/>
        <v>0.89999999999999991</v>
      </c>
      <c r="S6" s="11">
        <f t="shared" si="8"/>
        <v>0.375</v>
      </c>
    </row>
    <row r="7" spans="1:25" x14ac:dyDescent="0.3">
      <c r="A7" s="8">
        <v>3</v>
      </c>
      <c r="B7" s="9">
        <v>3.2</v>
      </c>
      <c r="C7" s="9">
        <v>3.2</v>
      </c>
      <c r="D7" s="9">
        <v>3.32</v>
      </c>
      <c r="E7" s="9">
        <f t="shared" si="0"/>
        <v>0.20000000000000018</v>
      </c>
      <c r="F7" s="9">
        <f t="shared" si="1"/>
        <v>0.31999999999999984</v>
      </c>
      <c r="G7" s="9">
        <f t="shared" si="2"/>
        <v>0.13</v>
      </c>
      <c r="H7" s="10">
        <v>3.4</v>
      </c>
      <c r="I7" s="10">
        <v>3.4</v>
      </c>
      <c r="J7" s="10">
        <v>3.58</v>
      </c>
      <c r="K7" s="10">
        <f t="shared" si="3"/>
        <v>0.39999999999999991</v>
      </c>
      <c r="L7" s="10">
        <f t="shared" si="4"/>
        <v>0.58000000000000007</v>
      </c>
      <c r="M7" s="10">
        <f t="shared" si="5"/>
        <v>0.245</v>
      </c>
      <c r="N7" s="11">
        <v>3.6</v>
      </c>
      <c r="O7" s="11">
        <v>3.6</v>
      </c>
      <c r="P7" s="11">
        <v>3.9</v>
      </c>
      <c r="Q7" s="11">
        <f t="shared" si="6"/>
        <v>0.60000000000000009</v>
      </c>
      <c r="R7" s="11">
        <f t="shared" si="7"/>
        <v>0.89999999999999991</v>
      </c>
      <c r="S7" s="11">
        <f t="shared" si="8"/>
        <v>0.375</v>
      </c>
    </row>
    <row r="8" spans="1:25" x14ac:dyDescent="0.3">
      <c r="A8" s="8">
        <v>4</v>
      </c>
      <c r="B8" s="9">
        <v>4.3</v>
      </c>
      <c r="C8" s="9">
        <v>4.3</v>
      </c>
      <c r="D8" s="9">
        <v>4.42</v>
      </c>
      <c r="E8" s="9">
        <f t="shared" si="0"/>
        <v>0.29999999999999982</v>
      </c>
      <c r="F8" s="9">
        <f t="shared" si="1"/>
        <v>0.41999999999999993</v>
      </c>
      <c r="G8" s="9">
        <f t="shared" si="2"/>
        <v>0.17999999999999994</v>
      </c>
      <c r="H8" s="10">
        <v>4.5</v>
      </c>
      <c r="I8" s="10">
        <v>4.5</v>
      </c>
      <c r="J8" s="10">
        <v>4.68</v>
      </c>
      <c r="K8" s="10">
        <f t="shared" si="3"/>
        <v>0.5</v>
      </c>
      <c r="L8" s="10">
        <f t="shared" si="4"/>
        <v>0.67999999999999972</v>
      </c>
      <c r="M8" s="10">
        <f t="shared" si="5"/>
        <v>0.29499999999999993</v>
      </c>
      <c r="N8" s="11">
        <v>4.8</v>
      </c>
      <c r="O8" s="11">
        <v>4.8</v>
      </c>
      <c r="P8" s="11">
        <v>5.0999999999999996</v>
      </c>
      <c r="Q8" s="11">
        <f t="shared" si="6"/>
        <v>0.79999999999999982</v>
      </c>
      <c r="R8" s="11">
        <f t="shared" si="7"/>
        <v>1.0999999999999996</v>
      </c>
      <c r="S8" s="11">
        <f t="shared" si="8"/>
        <v>0.47499999999999987</v>
      </c>
    </row>
    <row r="9" spans="1:25" x14ac:dyDescent="0.3">
      <c r="A9" s="8">
        <v>5</v>
      </c>
      <c r="B9" s="9">
        <v>5.3</v>
      </c>
      <c r="C9" s="9">
        <v>5.3</v>
      </c>
      <c r="D9" s="9">
        <v>5.42</v>
      </c>
      <c r="E9" s="9">
        <f t="shared" si="0"/>
        <v>0.29999999999999982</v>
      </c>
      <c r="F9" s="9">
        <f t="shared" si="1"/>
        <v>0.41999999999999993</v>
      </c>
      <c r="G9" s="9">
        <f t="shared" si="2"/>
        <v>0.17999999999999994</v>
      </c>
      <c r="H9" s="10">
        <v>5.5</v>
      </c>
      <c r="I9" s="10">
        <v>5.5</v>
      </c>
      <c r="J9" s="10">
        <v>5.68</v>
      </c>
      <c r="K9" s="10">
        <f t="shared" si="3"/>
        <v>0.5</v>
      </c>
      <c r="L9" s="10">
        <f t="shared" si="4"/>
        <v>0.67999999999999972</v>
      </c>
      <c r="M9" s="10">
        <f t="shared" si="5"/>
        <v>0.29499999999999993</v>
      </c>
      <c r="N9" s="11">
        <v>5.8</v>
      </c>
      <c r="O9" s="11">
        <v>5.8</v>
      </c>
      <c r="P9" s="11">
        <v>6.1</v>
      </c>
      <c r="Q9" s="11">
        <f t="shared" si="6"/>
        <v>0.79999999999999982</v>
      </c>
      <c r="R9" s="11">
        <f t="shared" si="7"/>
        <v>1.0999999999999996</v>
      </c>
      <c r="S9" s="11">
        <f t="shared" si="8"/>
        <v>0.47499999999999987</v>
      </c>
    </row>
    <row r="10" spans="1:25" x14ac:dyDescent="0.3">
      <c r="A10" s="8">
        <v>6</v>
      </c>
      <c r="B10" s="9">
        <v>6.4</v>
      </c>
      <c r="C10" s="9">
        <v>6.4</v>
      </c>
      <c r="D10" s="9">
        <v>6.55</v>
      </c>
      <c r="E10" s="9">
        <f t="shared" si="0"/>
        <v>0.40000000000000036</v>
      </c>
      <c r="F10" s="9">
        <f t="shared" si="1"/>
        <v>0.54999999999999982</v>
      </c>
      <c r="G10" s="9">
        <f t="shared" si="2"/>
        <v>0.23750000000000004</v>
      </c>
      <c r="H10" s="10">
        <v>6.6</v>
      </c>
      <c r="I10" s="10">
        <v>6.6</v>
      </c>
      <c r="J10" s="10">
        <v>6.82</v>
      </c>
      <c r="K10" s="10">
        <f t="shared" si="3"/>
        <v>0.59999999999999964</v>
      </c>
      <c r="L10" s="10">
        <f t="shared" si="4"/>
        <v>0.82000000000000028</v>
      </c>
      <c r="M10" s="10">
        <f t="shared" si="5"/>
        <v>0.35499999999999998</v>
      </c>
      <c r="N10" s="11">
        <v>7</v>
      </c>
      <c r="O10" s="11">
        <v>7</v>
      </c>
      <c r="P10" s="11">
        <v>7.36</v>
      </c>
      <c r="Q10" s="11">
        <f t="shared" si="6"/>
        <v>1</v>
      </c>
      <c r="R10" s="11">
        <f t="shared" si="7"/>
        <v>1.3600000000000003</v>
      </c>
      <c r="S10" s="11">
        <f t="shared" si="8"/>
        <v>0.59000000000000008</v>
      </c>
    </row>
    <row r="11" spans="1:25" x14ac:dyDescent="0.3">
      <c r="A11" s="8">
        <v>8</v>
      </c>
      <c r="B11" s="9">
        <v>8.4</v>
      </c>
      <c r="C11" s="9">
        <v>8.4</v>
      </c>
      <c r="D11" s="9">
        <v>8.5500000000000007</v>
      </c>
      <c r="E11" s="9">
        <f t="shared" si="0"/>
        <v>0.40000000000000036</v>
      </c>
      <c r="F11" s="9">
        <f t="shared" si="1"/>
        <v>0.55000000000000071</v>
      </c>
      <c r="G11" s="9">
        <f t="shared" si="2"/>
        <v>0.23750000000000027</v>
      </c>
      <c r="H11" s="10">
        <v>9</v>
      </c>
      <c r="I11" s="10">
        <v>9</v>
      </c>
      <c r="J11" s="10">
        <v>9.2200000000000006</v>
      </c>
      <c r="K11" s="10">
        <f t="shared" si="3"/>
        <v>1</v>
      </c>
      <c r="L11" s="10">
        <f t="shared" si="4"/>
        <v>1.2200000000000006</v>
      </c>
      <c r="M11" s="10">
        <f t="shared" si="5"/>
        <v>0.55500000000000016</v>
      </c>
      <c r="N11" s="11">
        <v>10</v>
      </c>
      <c r="O11" s="11">
        <v>10</v>
      </c>
      <c r="P11" s="11">
        <v>10.36</v>
      </c>
      <c r="Q11" s="11">
        <f t="shared" si="6"/>
        <v>2</v>
      </c>
      <c r="R11" s="11">
        <f t="shared" si="7"/>
        <v>2.3599999999999994</v>
      </c>
      <c r="S11" s="11">
        <f t="shared" si="8"/>
        <v>1.0899999999999999</v>
      </c>
    </row>
    <row r="12" spans="1:25" x14ac:dyDescent="0.3">
      <c r="A12" s="8">
        <v>10</v>
      </c>
      <c r="B12" s="9">
        <v>10.5</v>
      </c>
      <c r="C12" s="9">
        <v>10.5</v>
      </c>
      <c r="D12" s="9">
        <v>10.68</v>
      </c>
      <c r="E12" s="9">
        <f t="shared" si="0"/>
        <v>0.5</v>
      </c>
      <c r="F12" s="9">
        <f t="shared" si="1"/>
        <v>0.67999999999999972</v>
      </c>
      <c r="G12" s="9">
        <f t="shared" si="2"/>
        <v>0.29499999999999993</v>
      </c>
      <c r="H12" s="10">
        <v>11</v>
      </c>
      <c r="I12" s="10">
        <v>11</v>
      </c>
      <c r="J12" s="10">
        <v>11.27</v>
      </c>
      <c r="K12" s="10">
        <f t="shared" si="3"/>
        <v>1</v>
      </c>
      <c r="L12" s="10">
        <f t="shared" si="4"/>
        <v>1.2699999999999996</v>
      </c>
      <c r="M12" s="10">
        <f t="shared" si="5"/>
        <v>0.56749999999999989</v>
      </c>
      <c r="N12" s="11">
        <v>12</v>
      </c>
      <c r="O12" s="11">
        <v>12</v>
      </c>
      <c r="P12" s="11">
        <v>12.43</v>
      </c>
      <c r="Q12" s="11">
        <f t="shared" si="6"/>
        <v>2</v>
      </c>
      <c r="R12" s="11">
        <f t="shared" si="7"/>
        <v>2.4299999999999997</v>
      </c>
      <c r="S12" s="11">
        <f t="shared" si="8"/>
        <v>1.1074999999999999</v>
      </c>
    </row>
    <row r="13" spans="1:25" x14ac:dyDescent="0.3">
      <c r="A13" s="8">
        <v>12</v>
      </c>
      <c r="B13" s="9">
        <v>13</v>
      </c>
      <c r="C13" s="9">
        <v>13</v>
      </c>
      <c r="D13" s="9">
        <v>13.18</v>
      </c>
      <c r="E13" s="9">
        <f t="shared" si="0"/>
        <v>1</v>
      </c>
      <c r="F13" s="9">
        <f t="shared" si="1"/>
        <v>1.1799999999999997</v>
      </c>
      <c r="G13" s="9">
        <f t="shared" si="2"/>
        <v>0.54499999999999993</v>
      </c>
      <c r="H13" s="10">
        <v>13.5</v>
      </c>
      <c r="I13" s="10">
        <v>13.5</v>
      </c>
      <c r="J13" s="10">
        <v>13.77</v>
      </c>
      <c r="K13" s="10">
        <f t="shared" si="3"/>
        <v>1.5</v>
      </c>
      <c r="L13" s="10">
        <f t="shared" si="4"/>
        <v>1.7699999999999996</v>
      </c>
      <c r="M13" s="10">
        <f t="shared" si="5"/>
        <v>0.81749999999999989</v>
      </c>
      <c r="N13" s="11">
        <v>14.5</v>
      </c>
      <c r="O13" s="11">
        <v>14.5</v>
      </c>
      <c r="P13" s="11">
        <v>14.93</v>
      </c>
      <c r="Q13" s="11">
        <f t="shared" si="6"/>
        <v>2.5</v>
      </c>
      <c r="R13" s="11">
        <f t="shared" si="7"/>
        <v>2.9299999999999997</v>
      </c>
      <c r="S13" s="11">
        <f t="shared" si="8"/>
        <v>1.3574999999999999</v>
      </c>
    </row>
    <row r="14" spans="1:25" x14ac:dyDescent="0.3">
      <c r="A14" s="8">
        <v>14</v>
      </c>
      <c r="B14" s="9">
        <v>15</v>
      </c>
      <c r="C14" s="9">
        <v>15</v>
      </c>
      <c r="D14" s="9">
        <v>15.18</v>
      </c>
      <c r="E14" s="9">
        <f t="shared" si="0"/>
        <v>1</v>
      </c>
      <c r="F14" s="9">
        <f t="shared" si="1"/>
        <v>1.1799999999999997</v>
      </c>
      <c r="G14" s="9">
        <f t="shared" si="2"/>
        <v>0.54499999999999993</v>
      </c>
      <c r="H14" s="10">
        <v>15.5</v>
      </c>
      <c r="I14" s="10">
        <v>15.5</v>
      </c>
      <c r="J14" s="10">
        <v>15.77</v>
      </c>
      <c r="K14" s="10">
        <f t="shared" si="3"/>
        <v>1.5</v>
      </c>
      <c r="L14" s="10">
        <f t="shared" si="4"/>
        <v>1.7699999999999996</v>
      </c>
      <c r="M14" s="10">
        <f t="shared" si="5"/>
        <v>0.81749999999999989</v>
      </c>
      <c r="N14" s="11">
        <v>16.5</v>
      </c>
      <c r="O14" s="11">
        <v>16.5</v>
      </c>
      <c r="P14" s="11">
        <v>16.93</v>
      </c>
      <c r="Q14" s="11">
        <f t="shared" si="6"/>
        <v>2.5</v>
      </c>
      <c r="R14" s="11">
        <f t="shared" si="7"/>
        <v>2.9299999999999997</v>
      </c>
      <c r="S14" s="11">
        <f t="shared" si="8"/>
        <v>1.3574999999999999</v>
      </c>
    </row>
    <row r="15" spans="1:25" x14ac:dyDescent="0.3">
      <c r="A15" s="8">
        <v>16</v>
      </c>
      <c r="B15" s="9">
        <v>17</v>
      </c>
      <c r="C15" s="9">
        <v>17</v>
      </c>
      <c r="D15" s="9">
        <v>17.18</v>
      </c>
      <c r="E15" s="9">
        <f t="shared" si="0"/>
        <v>1</v>
      </c>
      <c r="F15" s="9">
        <f t="shared" si="1"/>
        <v>1.1799999999999997</v>
      </c>
      <c r="G15" s="9">
        <f t="shared" si="2"/>
        <v>0.54499999999999993</v>
      </c>
      <c r="H15" s="10">
        <v>17.5</v>
      </c>
      <c r="I15" s="10">
        <v>17.5</v>
      </c>
      <c r="J15" s="10">
        <v>17.77</v>
      </c>
      <c r="K15" s="10">
        <f t="shared" si="3"/>
        <v>1.5</v>
      </c>
      <c r="L15" s="10">
        <f t="shared" si="4"/>
        <v>1.7699999999999996</v>
      </c>
      <c r="M15" s="10">
        <f t="shared" si="5"/>
        <v>0.81749999999999989</v>
      </c>
      <c r="N15" s="11">
        <v>18.5</v>
      </c>
      <c r="O15" s="11">
        <v>18.5</v>
      </c>
      <c r="P15" s="11">
        <v>19.02</v>
      </c>
      <c r="Q15" s="11">
        <f t="shared" si="6"/>
        <v>2.5</v>
      </c>
      <c r="R15" s="11">
        <f t="shared" si="7"/>
        <v>3.0199999999999996</v>
      </c>
      <c r="S15" s="11">
        <f t="shared" si="8"/>
        <v>1.38</v>
      </c>
    </row>
    <row r="16" spans="1:25" x14ac:dyDescent="0.3">
      <c r="A16" s="8">
        <v>20</v>
      </c>
      <c r="B16" s="9">
        <v>21</v>
      </c>
      <c r="C16" s="9">
        <v>21</v>
      </c>
      <c r="D16" s="9">
        <v>21.21</v>
      </c>
      <c r="E16" s="9">
        <f t="shared" si="0"/>
        <v>1</v>
      </c>
      <c r="F16" s="9">
        <f t="shared" si="1"/>
        <v>1.2100000000000009</v>
      </c>
      <c r="G16" s="9">
        <f t="shared" si="2"/>
        <v>0.55250000000000021</v>
      </c>
      <c r="H16" s="10">
        <v>22</v>
      </c>
      <c r="I16" s="10">
        <v>22</v>
      </c>
      <c r="J16" s="10">
        <v>22.33</v>
      </c>
      <c r="K16" s="10">
        <f t="shared" si="3"/>
        <v>2</v>
      </c>
      <c r="L16" s="10">
        <f t="shared" si="4"/>
        <v>2.3299999999999983</v>
      </c>
      <c r="M16" s="10">
        <f t="shared" si="5"/>
        <v>1.0824999999999996</v>
      </c>
      <c r="N16" s="11">
        <v>24</v>
      </c>
      <c r="O16" s="11">
        <v>24</v>
      </c>
      <c r="P16" s="11">
        <v>24.52</v>
      </c>
      <c r="Q16" s="11">
        <f t="shared" si="6"/>
        <v>4</v>
      </c>
      <c r="R16" s="11">
        <f t="shared" si="7"/>
        <v>4.5199999999999996</v>
      </c>
      <c r="S16" s="11">
        <f t="shared" si="8"/>
        <v>2.13</v>
      </c>
    </row>
    <row r="17" spans="1:19" x14ac:dyDescent="0.3">
      <c r="A17" s="8">
        <v>24</v>
      </c>
      <c r="B17" s="9">
        <v>25</v>
      </c>
      <c r="C17" s="9">
        <v>25</v>
      </c>
      <c r="D17" s="9">
        <v>25.21</v>
      </c>
      <c r="E17" s="9">
        <f t="shared" si="0"/>
        <v>1</v>
      </c>
      <c r="F17" s="9">
        <f t="shared" si="1"/>
        <v>1.2100000000000009</v>
      </c>
      <c r="G17" s="9">
        <f t="shared" si="2"/>
        <v>0.55250000000000021</v>
      </c>
      <c r="H17" s="10">
        <v>26</v>
      </c>
      <c r="I17" s="10">
        <v>26</v>
      </c>
      <c r="J17" s="10">
        <v>26.33</v>
      </c>
      <c r="K17" s="10">
        <f t="shared" si="3"/>
        <v>2</v>
      </c>
      <c r="L17" s="10">
        <f t="shared" si="4"/>
        <v>2.3299999999999983</v>
      </c>
      <c r="M17" s="10">
        <f t="shared" si="5"/>
        <v>1.0824999999999996</v>
      </c>
      <c r="N17" s="11">
        <v>28</v>
      </c>
      <c r="O17" s="11">
        <v>28</v>
      </c>
      <c r="P17" s="11">
        <v>28.52</v>
      </c>
      <c r="Q17" s="11">
        <f t="shared" si="6"/>
        <v>4</v>
      </c>
      <c r="R17" s="11">
        <f t="shared" si="7"/>
        <v>4.5199999999999996</v>
      </c>
      <c r="S17" s="11">
        <f t="shared" si="8"/>
        <v>2.13</v>
      </c>
    </row>
    <row r="18" spans="1:19" x14ac:dyDescent="0.3">
      <c r="A18" s="8">
        <v>30</v>
      </c>
      <c r="B18" s="9">
        <v>31</v>
      </c>
      <c r="C18" s="9">
        <v>31</v>
      </c>
      <c r="D18" s="9">
        <v>31.25</v>
      </c>
      <c r="E18" s="9">
        <f t="shared" si="0"/>
        <v>1</v>
      </c>
      <c r="F18" s="9">
        <f t="shared" si="1"/>
        <v>1.25</v>
      </c>
      <c r="G18" s="9">
        <f t="shared" si="2"/>
        <v>0.5625</v>
      </c>
      <c r="H18" s="10">
        <v>33</v>
      </c>
      <c r="I18" s="10">
        <v>33</v>
      </c>
      <c r="J18" s="10">
        <v>33.39</v>
      </c>
      <c r="K18" s="10">
        <f t="shared" si="3"/>
        <v>3</v>
      </c>
      <c r="L18" s="10">
        <f t="shared" si="4"/>
        <v>3.3900000000000006</v>
      </c>
      <c r="M18" s="10">
        <f t="shared" si="5"/>
        <v>1.5975000000000001</v>
      </c>
      <c r="N18" s="11">
        <v>35</v>
      </c>
      <c r="O18" s="11">
        <v>35</v>
      </c>
      <c r="P18" s="11">
        <v>35.619999999999997</v>
      </c>
      <c r="Q18" s="11">
        <f t="shared" si="6"/>
        <v>5</v>
      </c>
      <c r="R18" s="11">
        <f t="shared" si="7"/>
        <v>5.6199999999999974</v>
      </c>
      <c r="S18" s="11">
        <f t="shared" si="8"/>
        <v>2.6549999999999994</v>
      </c>
    </row>
    <row r="19" spans="1:19" x14ac:dyDescent="0.3">
      <c r="A19" s="8">
        <v>36</v>
      </c>
      <c r="B19" s="9">
        <v>37</v>
      </c>
      <c r="C19" s="9">
        <v>37</v>
      </c>
      <c r="D19" s="9">
        <v>37.25</v>
      </c>
      <c r="E19" s="9">
        <f t="shared" si="0"/>
        <v>1</v>
      </c>
      <c r="F19" s="9">
        <f t="shared" si="1"/>
        <v>1.25</v>
      </c>
      <c r="G19" s="9">
        <f t="shared" si="2"/>
        <v>0.5625</v>
      </c>
      <c r="H19" s="10">
        <v>39</v>
      </c>
      <c r="I19" s="10">
        <v>39</v>
      </c>
      <c r="J19" s="10">
        <v>39.39</v>
      </c>
      <c r="K19" s="10">
        <f t="shared" si="3"/>
        <v>3</v>
      </c>
      <c r="L19" s="10">
        <f t="shared" si="4"/>
        <v>3.3900000000000006</v>
      </c>
      <c r="M19" s="10">
        <f t="shared" si="5"/>
        <v>1.5975000000000001</v>
      </c>
      <c r="N19" s="11">
        <v>42</v>
      </c>
      <c r="O19" s="11">
        <v>42</v>
      </c>
      <c r="P19" s="11">
        <v>42.62</v>
      </c>
      <c r="Q19" s="11">
        <f t="shared" si="6"/>
        <v>6</v>
      </c>
      <c r="R19" s="11">
        <f t="shared" si="7"/>
        <v>6.6199999999999974</v>
      </c>
      <c r="S19" s="11">
        <f t="shared" si="8"/>
        <v>3.1549999999999994</v>
      </c>
    </row>
    <row r="20" spans="1:19" x14ac:dyDescent="0.3">
      <c r="A20" s="8">
        <v>42</v>
      </c>
      <c r="B20" s="9">
        <v>43</v>
      </c>
      <c r="C20" s="9">
        <v>43</v>
      </c>
      <c r="D20" s="9">
        <v>43.25</v>
      </c>
      <c r="E20" s="9">
        <f t="shared" si="0"/>
        <v>1</v>
      </c>
      <c r="F20" s="9">
        <f t="shared" si="1"/>
        <v>1.25</v>
      </c>
      <c r="G20" s="9">
        <f t="shared" si="2"/>
        <v>0.5625</v>
      </c>
      <c r="H20" s="10">
        <v>45</v>
      </c>
      <c r="I20" s="10">
        <v>45</v>
      </c>
      <c r="J20" s="10">
        <v>45.39</v>
      </c>
      <c r="K20" s="10">
        <f t="shared" si="3"/>
        <v>3</v>
      </c>
      <c r="L20" s="10">
        <f t="shared" si="4"/>
        <v>3.3900000000000006</v>
      </c>
      <c r="M20" s="10">
        <f t="shared" si="5"/>
        <v>1.5975000000000001</v>
      </c>
      <c r="N20" s="11">
        <v>48</v>
      </c>
      <c r="O20" s="11">
        <v>48</v>
      </c>
      <c r="P20" s="11">
        <v>48.62</v>
      </c>
      <c r="Q20" s="11">
        <f t="shared" si="6"/>
        <v>6</v>
      </c>
      <c r="R20" s="11">
        <f t="shared" si="7"/>
        <v>6.6199999999999974</v>
      </c>
      <c r="S20" s="11">
        <f t="shared" si="8"/>
        <v>3.1549999999999994</v>
      </c>
    </row>
    <row r="21" spans="1:19" x14ac:dyDescent="0.3">
      <c r="A21" s="8">
        <v>48</v>
      </c>
      <c r="B21" s="9">
        <v>50</v>
      </c>
      <c r="C21" s="9">
        <v>50</v>
      </c>
      <c r="D21" s="9">
        <v>50.25</v>
      </c>
      <c r="E21" s="9">
        <f t="shared" si="0"/>
        <v>2</v>
      </c>
      <c r="F21" s="9">
        <f t="shared" si="1"/>
        <v>2.25</v>
      </c>
      <c r="G21" s="9">
        <f t="shared" si="2"/>
        <v>1.0625</v>
      </c>
      <c r="H21" s="10">
        <v>52</v>
      </c>
      <c r="I21" s="10">
        <v>52</v>
      </c>
      <c r="J21" s="10">
        <v>52.46</v>
      </c>
      <c r="K21" s="10">
        <f t="shared" si="3"/>
        <v>4</v>
      </c>
      <c r="L21" s="10">
        <f t="shared" si="4"/>
        <v>4.4600000000000009</v>
      </c>
      <c r="M21" s="10">
        <f t="shared" si="5"/>
        <v>2.1150000000000002</v>
      </c>
      <c r="N21" s="11">
        <v>56</v>
      </c>
      <c r="O21" s="11">
        <v>56</v>
      </c>
      <c r="P21" s="11">
        <v>56.74</v>
      </c>
      <c r="Q21" s="11">
        <f t="shared" si="6"/>
        <v>8</v>
      </c>
      <c r="R21" s="11">
        <f t="shared" si="7"/>
        <v>8.740000000000002</v>
      </c>
      <c r="S21" s="11">
        <f t="shared" si="8"/>
        <v>4.1850000000000005</v>
      </c>
    </row>
    <row r="22" spans="1:19" x14ac:dyDescent="0.3">
      <c r="A22" s="8">
        <v>56</v>
      </c>
      <c r="B22" s="9">
        <v>58</v>
      </c>
      <c r="C22" s="9">
        <v>58</v>
      </c>
      <c r="D22" s="9">
        <v>58.3</v>
      </c>
      <c r="E22" s="9">
        <f t="shared" si="0"/>
        <v>2</v>
      </c>
      <c r="F22" s="9">
        <f t="shared" si="1"/>
        <v>2.2999999999999972</v>
      </c>
      <c r="G22" s="9">
        <f t="shared" si="2"/>
        <v>1.0749999999999993</v>
      </c>
      <c r="H22" s="10">
        <v>62</v>
      </c>
      <c r="I22" s="10">
        <v>62</v>
      </c>
      <c r="J22" s="10">
        <v>62.46</v>
      </c>
      <c r="K22" s="10">
        <f t="shared" si="3"/>
        <v>6</v>
      </c>
      <c r="L22" s="10">
        <f t="shared" si="4"/>
        <v>6.4600000000000009</v>
      </c>
      <c r="M22" s="10">
        <f t="shared" si="5"/>
        <v>3.1150000000000002</v>
      </c>
      <c r="N22" s="11">
        <v>66</v>
      </c>
      <c r="O22" s="11">
        <v>66</v>
      </c>
      <c r="P22" s="11">
        <v>66.739999999999995</v>
      </c>
      <c r="Q22" s="11">
        <f t="shared" si="6"/>
        <v>10</v>
      </c>
      <c r="R22" s="11">
        <f t="shared" si="7"/>
        <v>10.739999999999995</v>
      </c>
      <c r="S22" s="11">
        <f t="shared" si="8"/>
        <v>5.1849999999999987</v>
      </c>
    </row>
    <row r="23" spans="1:19" x14ac:dyDescent="0.3">
      <c r="A23" s="8">
        <v>64</v>
      </c>
      <c r="B23" s="9">
        <v>66</v>
      </c>
      <c r="C23" s="9">
        <v>66</v>
      </c>
      <c r="D23" s="9">
        <v>66.3</v>
      </c>
      <c r="E23" s="9">
        <f t="shared" si="0"/>
        <v>2</v>
      </c>
      <c r="F23" s="9">
        <f t="shared" si="1"/>
        <v>2.2999999999999972</v>
      </c>
      <c r="G23" s="9">
        <f t="shared" si="2"/>
        <v>1.0749999999999993</v>
      </c>
      <c r="H23" s="10">
        <v>70</v>
      </c>
      <c r="I23" s="10">
        <v>70</v>
      </c>
      <c r="J23" s="10">
        <v>70.459999999999994</v>
      </c>
      <c r="K23" s="10">
        <f t="shared" si="3"/>
        <v>6</v>
      </c>
      <c r="L23" s="10">
        <f t="shared" si="4"/>
        <v>6.4599999999999937</v>
      </c>
      <c r="M23" s="10">
        <f t="shared" si="5"/>
        <v>3.1149999999999984</v>
      </c>
      <c r="N23" s="11">
        <v>74</v>
      </c>
      <c r="O23" s="11">
        <v>74</v>
      </c>
      <c r="P23" s="11">
        <v>74.739999999999995</v>
      </c>
      <c r="Q23" s="11">
        <f t="shared" si="6"/>
        <v>10</v>
      </c>
      <c r="R23" s="11">
        <f t="shared" si="7"/>
        <v>10.739999999999995</v>
      </c>
      <c r="S23" s="11">
        <f t="shared" si="8"/>
        <v>5.1849999999999987</v>
      </c>
    </row>
    <row r="24" spans="1:19" x14ac:dyDescent="0.3">
      <c r="A24" s="8">
        <v>72</v>
      </c>
      <c r="B24" s="9">
        <v>74</v>
      </c>
      <c r="C24" s="9">
        <v>74</v>
      </c>
      <c r="D24" s="9">
        <v>74.3</v>
      </c>
      <c r="E24" s="9">
        <f t="shared" si="0"/>
        <v>2</v>
      </c>
      <c r="F24" s="9">
        <f t="shared" si="1"/>
        <v>2.2999999999999972</v>
      </c>
      <c r="G24" s="9">
        <f t="shared" si="2"/>
        <v>1.0749999999999993</v>
      </c>
      <c r="H24" s="10">
        <v>78</v>
      </c>
      <c r="I24" s="10">
        <v>78</v>
      </c>
      <c r="J24" s="10">
        <v>78.459999999999994</v>
      </c>
      <c r="K24" s="10">
        <f t="shared" si="3"/>
        <v>6</v>
      </c>
      <c r="L24" s="10">
        <f t="shared" si="4"/>
        <v>6.4599999999999937</v>
      </c>
      <c r="M24" s="10">
        <f t="shared" si="5"/>
        <v>3.1149999999999984</v>
      </c>
      <c r="N24" s="11">
        <v>82</v>
      </c>
      <c r="O24" s="11">
        <v>82</v>
      </c>
      <c r="P24" s="11">
        <v>82.87</v>
      </c>
      <c r="Q24" s="11">
        <f t="shared" si="6"/>
        <v>10</v>
      </c>
      <c r="R24" s="11">
        <f t="shared" si="7"/>
        <v>10.870000000000005</v>
      </c>
      <c r="S24" s="11">
        <f t="shared" si="8"/>
        <v>5.2175000000000011</v>
      </c>
    </row>
    <row r="25" spans="1:19" x14ac:dyDescent="0.3">
      <c r="A25" s="8">
        <v>80</v>
      </c>
      <c r="B25" s="9">
        <v>82</v>
      </c>
      <c r="C25" s="9">
        <v>82</v>
      </c>
      <c r="D25" s="9">
        <v>82.35</v>
      </c>
      <c r="E25" s="9">
        <f t="shared" si="0"/>
        <v>2</v>
      </c>
      <c r="F25" s="9">
        <f t="shared" si="1"/>
        <v>2.3499999999999943</v>
      </c>
      <c r="G25" s="9">
        <f t="shared" si="2"/>
        <v>1.0874999999999986</v>
      </c>
      <c r="H25" s="10">
        <v>86</v>
      </c>
      <c r="I25" s="10">
        <v>86</v>
      </c>
      <c r="J25" s="10">
        <v>86.54</v>
      </c>
      <c r="K25" s="10">
        <f t="shared" si="3"/>
        <v>6</v>
      </c>
      <c r="L25" s="10">
        <f t="shared" si="4"/>
        <v>6.5400000000000063</v>
      </c>
      <c r="M25" s="10">
        <f t="shared" si="5"/>
        <v>3.1350000000000016</v>
      </c>
      <c r="N25" s="11">
        <v>91</v>
      </c>
      <c r="O25" s="11">
        <v>91</v>
      </c>
      <c r="P25" s="11">
        <v>91.87</v>
      </c>
      <c r="Q25" s="11">
        <f t="shared" si="6"/>
        <v>11</v>
      </c>
      <c r="R25" s="11">
        <f t="shared" si="7"/>
        <v>11.870000000000005</v>
      </c>
      <c r="S25" s="11">
        <f t="shared" si="8"/>
        <v>5.7175000000000011</v>
      </c>
    </row>
    <row r="26" spans="1:19" x14ac:dyDescent="0.3">
      <c r="A26" s="8">
        <v>90</v>
      </c>
      <c r="B26" s="9">
        <v>93</v>
      </c>
      <c r="C26" s="9">
        <v>93</v>
      </c>
      <c r="D26" s="9">
        <v>93.35</v>
      </c>
      <c r="E26" s="9">
        <f t="shared" si="0"/>
        <v>3</v>
      </c>
      <c r="F26" s="9">
        <f t="shared" si="1"/>
        <v>3.3499999999999943</v>
      </c>
      <c r="G26" s="9">
        <f t="shared" si="2"/>
        <v>1.5874999999999986</v>
      </c>
      <c r="H26" s="10">
        <v>96</v>
      </c>
      <c r="I26" s="10">
        <v>96</v>
      </c>
      <c r="J26" s="10">
        <v>96.54</v>
      </c>
      <c r="K26" s="10">
        <f t="shared" si="3"/>
        <v>6</v>
      </c>
      <c r="L26" s="10">
        <f t="shared" si="4"/>
        <v>6.5400000000000063</v>
      </c>
      <c r="M26" s="10">
        <f t="shared" si="5"/>
        <v>3.1350000000000016</v>
      </c>
      <c r="N26" s="11">
        <v>101</v>
      </c>
      <c r="O26" s="11">
        <v>101</v>
      </c>
      <c r="P26" s="11">
        <v>101.87</v>
      </c>
      <c r="Q26" s="11">
        <f t="shared" si="6"/>
        <v>11</v>
      </c>
      <c r="R26" s="11">
        <f t="shared" si="7"/>
        <v>11.870000000000005</v>
      </c>
      <c r="S26" s="11">
        <f t="shared" si="8"/>
        <v>5.7175000000000011</v>
      </c>
    </row>
    <row r="27" spans="1:19" x14ac:dyDescent="0.3">
      <c r="A27" s="8">
        <v>100</v>
      </c>
      <c r="B27" s="9">
        <v>104</v>
      </c>
      <c r="C27" s="9">
        <v>104</v>
      </c>
      <c r="D27" s="9">
        <v>104.35</v>
      </c>
      <c r="E27" s="9">
        <f t="shared" si="0"/>
        <v>4</v>
      </c>
      <c r="F27" s="9">
        <f t="shared" si="1"/>
        <v>4.3499999999999943</v>
      </c>
      <c r="G27" s="9">
        <f t="shared" si="2"/>
        <v>2.0874999999999986</v>
      </c>
      <c r="H27" s="10">
        <v>107</v>
      </c>
      <c r="I27" s="10">
        <v>107</v>
      </c>
      <c r="J27" s="10">
        <v>107.54</v>
      </c>
      <c r="K27" s="10">
        <f t="shared" si="3"/>
        <v>7</v>
      </c>
      <c r="L27" s="10">
        <f t="shared" si="4"/>
        <v>7.5400000000000063</v>
      </c>
      <c r="M27" s="10">
        <f t="shared" si="5"/>
        <v>3.6350000000000016</v>
      </c>
      <c r="N27" s="11">
        <v>112</v>
      </c>
      <c r="O27" s="11">
        <v>112</v>
      </c>
      <c r="P27" s="11">
        <v>112.87</v>
      </c>
      <c r="Q27" s="11">
        <f t="shared" si="6"/>
        <v>12</v>
      </c>
      <c r="R27" s="11">
        <f t="shared" si="7"/>
        <v>12.870000000000005</v>
      </c>
      <c r="S27" s="11">
        <f t="shared" si="8"/>
        <v>6.2175000000000011</v>
      </c>
    </row>
  </sheetData>
  <sheetProtection sheet="1" objects="1" scenarios="1"/>
  <mergeCells count="10">
    <mergeCell ref="W1:Y1"/>
    <mergeCell ref="C2:D2"/>
    <mergeCell ref="I2:J2"/>
    <mergeCell ref="O2:P2"/>
    <mergeCell ref="B1:G1"/>
    <mergeCell ref="H1:M1"/>
    <mergeCell ref="N1:S1"/>
    <mergeCell ref="E2:F2"/>
    <mergeCell ref="K2:L2"/>
    <mergeCell ref="Q2:R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25"/>
  <sheetViews>
    <sheetView workbookViewId="0">
      <pane xSplit="2" topLeftCell="C1" activePane="topRight" state="frozen"/>
      <selection pane="topRight"/>
    </sheetView>
  </sheetViews>
  <sheetFormatPr defaultRowHeight="14.4" x14ac:dyDescent="0.3"/>
  <cols>
    <col min="1" max="1" width="23.44140625" style="3" customWidth="1"/>
    <col min="2" max="3" width="17.44140625" style="3" customWidth="1"/>
    <col min="4" max="4" width="15.5546875" style="3" bestFit="1" customWidth="1"/>
    <col min="5" max="8" width="8.88671875" style="3" customWidth="1"/>
    <col min="9" max="9" width="18.109375" style="3" customWidth="1"/>
    <col min="10" max="10" width="16.5546875" style="3" customWidth="1"/>
    <col min="11" max="11" width="15.5546875" style="3" bestFit="1" customWidth="1"/>
    <col min="12" max="15" width="8.88671875" style="3" customWidth="1"/>
    <col min="16" max="16" width="18.109375" style="3" customWidth="1"/>
    <col min="17" max="17" width="16.5546875" style="3" customWidth="1"/>
    <col min="18" max="18" width="15.5546875" style="3" bestFit="1" customWidth="1"/>
    <col min="19" max="22" width="8.88671875" style="3" customWidth="1"/>
    <col min="23" max="23" width="18.109375" style="3" customWidth="1"/>
    <col min="24" max="25" width="8.88671875" style="3"/>
    <col min="26" max="26" width="17.44140625" style="3" bestFit="1" customWidth="1"/>
    <col min="27" max="16384" width="8.88671875" style="3"/>
  </cols>
  <sheetData>
    <row r="1" spans="1:29" s="2" customFormat="1" x14ac:dyDescent="0.3">
      <c r="A1" s="4"/>
      <c r="B1" s="4"/>
      <c r="C1" s="40" t="s">
        <v>4</v>
      </c>
      <c r="D1" s="41"/>
      <c r="E1" s="41"/>
      <c r="F1" s="41"/>
      <c r="G1" s="41"/>
      <c r="H1" s="41"/>
      <c r="I1" s="42"/>
      <c r="J1" s="43" t="s">
        <v>0</v>
      </c>
      <c r="K1" s="44"/>
      <c r="L1" s="44"/>
      <c r="M1" s="44"/>
      <c r="N1" s="44"/>
      <c r="O1" s="44"/>
      <c r="P1" s="45"/>
      <c r="Q1" s="46" t="s">
        <v>5</v>
      </c>
      <c r="R1" s="47"/>
      <c r="S1" s="47"/>
      <c r="T1" s="47"/>
      <c r="U1" s="47"/>
      <c r="V1" s="47"/>
      <c r="W1" s="48"/>
      <c r="Z1" s="12"/>
      <c r="AA1" s="36" t="s">
        <v>85</v>
      </c>
      <c r="AB1" s="36"/>
      <c r="AC1" s="36"/>
    </row>
    <row r="2" spans="1:29" s="2" customFormat="1" x14ac:dyDescent="0.3">
      <c r="A2" s="4"/>
      <c r="B2" s="4"/>
      <c r="C2" s="5"/>
      <c r="D2" s="5"/>
      <c r="E2" s="37" t="s">
        <v>84</v>
      </c>
      <c r="F2" s="37"/>
      <c r="G2" s="40" t="s">
        <v>85</v>
      </c>
      <c r="H2" s="42"/>
      <c r="I2" s="33"/>
      <c r="J2" s="6"/>
      <c r="K2" s="6"/>
      <c r="L2" s="38" t="s">
        <v>84</v>
      </c>
      <c r="M2" s="38"/>
      <c r="N2" s="38" t="s">
        <v>85</v>
      </c>
      <c r="O2" s="38"/>
      <c r="P2" s="34"/>
      <c r="Q2" s="7"/>
      <c r="R2" s="7"/>
      <c r="S2" s="39" t="s">
        <v>84</v>
      </c>
      <c r="T2" s="39"/>
      <c r="U2" s="39" t="s">
        <v>85</v>
      </c>
      <c r="V2" s="39"/>
      <c r="W2" s="35"/>
      <c r="Z2" s="4" t="s">
        <v>1</v>
      </c>
      <c r="AA2" s="4" t="s">
        <v>4</v>
      </c>
      <c r="AB2" s="4" t="s">
        <v>0</v>
      </c>
      <c r="AC2" s="4" t="s">
        <v>5</v>
      </c>
    </row>
    <row r="3" spans="1:29" s="2" customFormat="1" x14ac:dyDescent="0.3">
      <c r="A3" s="4" t="s">
        <v>1</v>
      </c>
      <c r="B3" s="4" t="s">
        <v>1</v>
      </c>
      <c r="C3" s="13" t="s">
        <v>6</v>
      </c>
      <c r="D3" s="5" t="s">
        <v>6</v>
      </c>
      <c r="E3" s="5" t="s">
        <v>2</v>
      </c>
      <c r="F3" s="5" t="s">
        <v>3</v>
      </c>
      <c r="G3" s="33" t="s">
        <v>2</v>
      </c>
      <c r="H3" s="33" t="s">
        <v>3</v>
      </c>
      <c r="I3" s="33" t="s">
        <v>89</v>
      </c>
      <c r="J3" s="6" t="s">
        <v>6</v>
      </c>
      <c r="K3" s="6" t="s">
        <v>6</v>
      </c>
      <c r="L3" s="6" t="s">
        <v>2</v>
      </c>
      <c r="M3" s="6" t="s">
        <v>3</v>
      </c>
      <c r="N3" s="34" t="s">
        <v>2</v>
      </c>
      <c r="O3" s="34" t="s">
        <v>3</v>
      </c>
      <c r="P3" s="34" t="s">
        <v>89</v>
      </c>
      <c r="Q3" s="7" t="s">
        <v>6</v>
      </c>
      <c r="R3" s="7" t="s">
        <v>6</v>
      </c>
      <c r="S3" s="7" t="s">
        <v>2</v>
      </c>
      <c r="T3" s="7" t="s">
        <v>3</v>
      </c>
      <c r="U3" s="35" t="s">
        <v>2</v>
      </c>
      <c r="V3" s="35" t="s">
        <v>3</v>
      </c>
      <c r="W3" s="35" t="s">
        <v>89</v>
      </c>
      <c r="Z3" s="3">
        <v>1.25</v>
      </c>
      <c r="AA3" s="3">
        <f xml:space="preserve"> imperial_c_coefficient_close * Z3^imperial_b_coefficient_close</f>
        <v>4.1117117068541133E-2</v>
      </c>
      <c r="AB3" s="3">
        <f xml:space="preserve"> imperial_c_coefficient_normal * Z3^imperial_b_coefficient_normal</f>
        <v>9.4294634230479804E-2</v>
      </c>
      <c r="AC3" s="3">
        <f xml:space="preserve"> imperial_c_coefficient_loose * Z3^imperial_b_coefficient_loose</f>
        <v>0.17592879641843134</v>
      </c>
    </row>
    <row r="4" spans="1:29" x14ac:dyDescent="0.3">
      <c r="A4" s="14" t="s">
        <v>14</v>
      </c>
      <c r="B4" s="14">
        <v>0.06</v>
      </c>
      <c r="C4" s="15" t="s">
        <v>48</v>
      </c>
      <c r="D4" s="9">
        <v>0.67</v>
      </c>
      <c r="E4" s="9">
        <v>6.7000000000000004E-2</v>
      </c>
      <c r="F4" s="9">
        <v>7.0999999999999994E-2</v>
      </c>
      <c r="G4" s="9">
        <f xml:space="preserve"> E4 - $B4</f>
        <v>7.0000000000000062E-3</v>
      </c>
      <c r="H4" s="9">
        <f xml:space="preserve"> F4 - $B4</f>
        <v>1.0999999999999996E-2</v>
      </c>
      <c r="I4" s="9">
        <f xml:space="preserve"> AVERAGE(G4:H4)</f>
        <v>9.0000000000000011E-3</v>
      </c>
      <c r="J4" s="16" t="s">
        <v>28</v>
      </c>
      <c r="K4" s="10">
        <v>7.5999999999999998E-2</v>
      </c>
      <c r="L4" s="10">
        <v>7.5999999999999998E-2</v>
      </c>
      <c r="M4" s="10">
        <v>8.2000000000000003E-2</v>
      </c>
      <c r="N4" s="10">
        <f xml:space="preserve"> L4 - $B4</f>
        <v>1.6E-2</v>
      </c>
      <c r="O4" s="10">
        <f xml:space="preserve"> M4 - $B4</f>
        <v>2.2000000000000006E-2</v>
      </c>
      <c r="P4" s="10">
        <f xml:space="preserve"> AVERAGE(N4:O4)</f>
        <v>1.9000000000000003E-2</v>
      </c>
      <c r="Q4" s="17" t="s">
        <v>67</v>
      </c>
      <c r="R4" s="11">
        <f xml:space="preserve"> 3 / 32</f>
        <v>9.375E-2</v>
      </c>
      <c r="S4" s="11">
        <v>9.4E-2</v>
      </c>
      <c r="T4" s="11">
        <v>0.104</v>
      </c>
      <c r="U4" s="11">
        <f xml:space="preserve"> S4 - $B4</f>
        <v>3.4000000000000002E-2</v>
      </c>
      <c r="V4" s="11">
        <f xml:space="preserve"> T4 - $B4</f>
        <v>4.3999999999999997E-2</v>
      </c>
      <c r="W4" s="11">
        <f xml:space="preserve"> AVERAGE(U4:V4)</f>
        <v>3.9E-2</v>
      </c>
    </row>
    <row r="5" spans="1:29" x14ac:dyDescent="0.3">
      <c r="A5" s="14" t="s">
        <v>15</v>
      </c>
      <c r="B5" s="14">
        <v>7.2999999999999995E-2</v>
      </c>
      <c r="C5" s="15" t="s">
        <v>49</v>
      </c>
      <c r="D5" s="9">
        <v>8.1000000000000003E-2</v>
      </c>
      <c r="E5" s="9">
        <v>8.1000000000000003E-2</v>
      </c>
      <c r="F5" s="9">
        <v>8.5000000000000006E-2</v>
      </c>
      <c r="G5" s="9">
        <f t="shared" ref="G5:G25" si="0" xml:space="preserve"> E5 - $B5</f>
        <v>8.0000000000000071E-3</v>
      </c>
      <c r="H5" s="9">
        <f t="shared" ref="H5:H25" si="1" xml:space="preserve"> F5 - $B5</f>
        <v>1.2000000000000011E-2</v>
      </c>
      <c r="I5" s="9">
        <f t="shared" ref="I5:I25" si="2" xml:space="preserve"> AVERAGE(G5:H5)</f>
        <v>1.0000000000000009E-2</v>
      </c>
      <c r="J5" s="16" t="s">
        <v>29</v>
      </c>
      <c r="K5" s="10">
        <v>8.8999999999999996E-2</v>
      </c>
      <c r="L5" s="10">
        <v>8.8999999999999996E-2</v>
      </c>
      <c r="M5" s="10">
        <v>9.5000000000000001E-2</v>
      </c>
      <c r="N5" s="10">
        <f t="shared" ref="N5:N25" si="3" xml:space="preserve"> L5 - $B5</f>
        <v>1.6E-2</v>
      </c>
      <c r="O5" s="10">
        <f t="shared" ref="O5:O25" si="4" xml:space="preserve"> M5 - $B5</f>
        <v>2.2000000000000006E-2</v>
      </c>
      <c r="P5" s="10">
        <f t="shared" ref="P5:P25" si="5" xml:space="preserve"> AVERAGE(N5:O5)</f>
        <v>1.9000000000000003E-2</v>
      </c>
      <c r="Q5" s="18" t="s">
        <v>69</v>
      </c>
      <c r="R5" s="11">
        <v>0.104</v>
      </c>
      <c r="S5" s="11">
        <v>0.104</v>
      </c>
      <c r="T5" s="11">
        <v>0.114</v>
      </c>
      <c r="U5" s="11">
        <f t="shared" ref="U5:U25" si="6" xml:space="preserve"> S5 - $B5</f>
        <v>3.1E-2</v>
      </c>
      <c r="V5" s="11">
        <f t="shared" ref="V5:V25" si="7" xml:space="preserve"> T5 - $B5</f>
        <v>4.1000000000000009E-2</v>
      </c>
      <c r="W5" s="11">
        <f t="shared" ref="W5:W25" si="8" xml:space="preserve"> AVERAGE(U5:V5)</f>
        <v>3.6000000000000004E-2</v>
      </c>
    </row>
    <row r="6" spans="1:29" x14ac:dyDescent="0.3">
      <c r="A6" s="14" t="s">
        <v>16</v>
      </c>
      <c r="B6" s="14">
        <v>8.5999999999999993E-2</v>
      </c>
      <c r="C6" s="19" t="s">
        <v>67</v>
      </c>
      <c r="D6" s="9">
        <f xml:space="preserve"> 3 / 32</f>
        <v>9.375E-2</v>
      </c>
      <c r="E6" s="9">
        <v>9.4E-2</v>
      </c>
      <c r="F6" s="9">
        <v>9.8000000000000004E-2</v>
      </c>
      <c r="G6" s="9">
        <f t="shared" si="0"/>
        <v>8.0000000000000071E-3</v>
      </c>
      <c r="H6" s="9">
        <f t="shared" si="1"/>
        <v>1.2000000000000011E-2</v>
      </c>
      <c r="I6" s="9">
        <f t="shared" si="2"/>
        <v>1.0000000000000009E-2</v>
      </c>
      <c r="J6" s="16" t="s">
        <v>30</v>
      </c>
      <c r="K6" s="10">
        <v>0.10150000000000001</v>
      </c>
      <c r="L6" s="10">
        <v>0.10199999999999999</v>
      </c>
      <c r="M6" s="10">
        <v>0.108</v>
      </c>
      <c r="N6" s="10">
        <f t="shared" si="3"/>
        <v>1.6E-2</v>
      </c>
      <c r="O6" s="10">
        <f t="shared" si="4"/>
        <v>2.2000000000000006E-2</v>
      </c>
      <c r="P6" s="10">
        <f t="shared" si="5"/>
        <v>1.9000000000000003E-2</v>
      </c>
      <c r="Q6" s="18" t="s">
        <v>31</v>
      </c>
      <c r="R6" s="11">
        <v>0.11600000000000001</v>
      </c>
      <c r="S6" s="11">
        <v>0.11600000000000001</v>
      </c>
      <c r="T6" s="11">
        <v>0.126</v>
      </c>
      <c r="U6" s="11">
        <f t="shared" si="6"/>
        <v>3.0000000000000013E-2</v>
      </c>
      <c r="V6" s="11">
        <f t="shared" si="7"/>
        <v>4.0000000000000008E-2</v>
      </c>
      <c r="W6" s="11">
        <f t="shared" si="8"/>
        <v>3.500000000000001E-2</v>
      </c>
    </row>
    <row r="7" spans="1:29" x14ac:dyDescent="0.3">
      <c r="A7" s="14" t="s">
        <v>17</v>
      </c>
      <c r="B7" s="14">
        <v>9.9000000000000005E-2</v>
      </c>
      <c r="C7" s="15" t="s">
        <v>50</v>
      </c>
      <c r="D7" s="9">
        <v>0.1065</v>
      </c>
      <c r="E7" s="9">
        <v>0.106</v>
      </c>
      <c r="F7" s="9">
        <v>0.11</v>
      </c>
      <c r="G7" s="9">
        <f t="shared" si="0"/>
        <v>6.9999999999999923E-3</v>
      </c>
      <c r="H7" s="9">
        <f t="shared" si="1"/>
        <v>1.0999999999999996E-2</v>
      </c>
      <c r="I7" s="9">
        <f t="shared" si="2"/>
        <v>8.9999999999999941E-3</v>
      </c>
      <c r="J7" s="16" t="s">
        <v>31</v>
      </c>
      <c r="K7" s="10">
        <v>0.11600000000000001</v>
      </c>
      <c r="L7" s="10">
        <v>0.11600000000000001</v>
      </c>
      <c r="M7" s="10">
        <v>0.122</v>
      </c>
      <c r="N7" s="10">
        <f t="shared" si="3"/>
        <v>1.7000000000000001E-2</v>
      </c>
      <c r="O7" s="10">
        <f t="shared" si="4"/>
        <v>2.2999999999999993E-2</v>
      </c>
      <c r="P7" s="10">
        <f t="shared" si="5"/>
        <v>1.9999999999999997E-2</v>
      </c>
      <c r="Q7" s="18" t="s">
        <v>32</v>
      </c>
      <c r="R7" s="11">
        <v>0.1285</v>
      </c>
      <c r="S7" s="11">
        <v>0.128</v>
      </c>
      <c r="T7" s="11">
        <v>0.14000000000000001</v>
      </c>
      <c r="U7" s="11">
        <f t="shared" si="6"/>
        <v>2.8999999999999998E-2</v>
      </c>
      <c r="V7" s="11">
        <f t="shared" si="7"/>
        <v>4.1000000000000009E-2</v>
      </c>
      <c r="W7" s="11">
        <f t="shared" si="8"/>
        <v>3.5000000000000003E-2</v>
      </c>
    </row>
    <row r="8" spans="1:29" x14ac:dyDescent="0.3">
      <c r="A8" s="14" t="s">
        <v>18</v>
      </c>
      <c r="B8" s="20">
        <v>0.112</v>
      </c>
      <c r="C8" s="15" t="s">
        <v>51</v>
      </c>
      <c r="D8" s="9">
        <v>0.12</v>
      </c>
      <c r="E8" s="9">
        <v>0.12</v>
      </c>
      <c r="F8" s="9">
        <v>0.124</v>
      </c>
      <c r="G8" s="9">
        <f t="shared" si="0"/>
        <v>7.9999999999999932E-3</v>
      </c>
      <c r="H8" s="9">
        <f t="shared" si="1"/>
        <v>1.1999999999999997E-2</v>
      </c>
      <c r="I8" s="9">
        <f t="shared" si="2"/>
        <v>9.999999999999995E-3</v>
      </c>
      <c r="J8" s="16" t="s">
        <v>32</v>
      </c>
      <c r="K8" s="10">
        <v>0.1285</v>
      </c>
      <c r="L8" s="10">
        <v>0.128</v>
      </c>
      <c r="M8" s="10">
        <v>0.13500000000000001</v>
      </c>
      <c r="N8" s="10">
        <f t="shared" si="3"/>
        <v>1.6E-2</v>
      </c>
      <c r="O8" s="10">
        <f t="shared" si="4"/>
        <v>2.3000000000000007E-2</v>
      </c>
      <c r="P8" s="10">
        <f t="shared" si="5"/>
        <v>1.9500000000000003E-2</v>
      </c>
      <c r="Q8" s="18" t="s">
        <v>70</v>
      </c>
      <c r="R8" s="11">
        <v>0.14399999999999999</v>
      </c>
      <c r="S8" s="11">
        <v>0.14399999999999999</v>
      </c>
      <c r="T8" s="11">
        <v>0.156</v>
      </c>
      <c r="U8" s="11">
        <f t="shared" si="6"/>
        <v>3.1999999999999987E-2</v>
      </c>
      <c r="V8" s="11">
        <f t="shared" si="7"/>
        <v>4.3999999999999997E-2</v>
      </c>
      <c r="W8" s="11">
        <f t="shared" si="8"/>
        <v>3.7999999999999992E-2</v>
      </c>
    </row>
    <row r="9" spans="1:29" x14ac:dyDescent="0.3">
      <c r="A9" s="14" t="s">
        <v>19</v>
      </c>
      <c r="B9" s="21">
        <v>0.125</v>
      </c>
      <c r="C9" s="19" t="s">
        <v>68</v>
      </c>
      <c r="D9" s="9">
        <f xml:space="preserve"> 9 / 64</f>
        <v>0.140625</v>
      </c>
      <c r="E9" s="9">
        <v>0.14099999999999999</v>
      </c>
      <c r="F9" s="9">
        <v>0.14599999999999999</v>
      </c>
      <c r="G9" s="9">
        <f t="shared" si="0"/>
        <v>1.5999999999999986E-2</v>
      </c>
      <c r="H9" s="9">
        <f t="shared" si="1"/>
        <v>2.0999999999999991E-2</v>
      </c>
      <c r="I9" s="9">
        <f t="shared" si="2"/>
        <v>1.8499999999999989E-2</v>
      </c>
      <c r="J9" s="22" t="s">
        <v>33</v>
      </c>
      <c r="K9" s="10">
        <f xml:space="preserve"> 5 / 32</f>
        <v>0.15625</v>
      </c>
      <c r="L9" s="10">
        <v>0.156</v>
      </c>
      <c r="M9" s="10">
        <v>0.16300000000000001</v>
      </c>
      <c r="N9" s="10">
        <f t="shared" si="3"/>
        <v>3.1E-2</v>
      </c>
      <c r="O9" s="10">
        <f t="shared" si="4"/>
        <v>3.8000000000000006E-2</v>
      </c>
      <c r="P9" s="10">
        <f t="shared" si="5"/>
        <v>3.4500000000000003E-2</v>
      </c>
      <c r="Q9" s="17" t="s">
        <v>73</v>
      </c>
      <c r="R9" s="11">
        <f xml:space="preserve"> 11 / 64</f>
        <v>0.171875</v>
      </c>
      <c r="S9" s="11">
        <v>0.17199999999999999</v>
      </c>
      <c r="T9" s="11">
        <v>0.184</v>
      </c>
      <c r="U9" s="11">
        <f t="shared" si="6"/>
        <v>4.6999999999999986E-2</v>
      </c>
      <c r="V9" s="11">
        <f t="shared" si="7"/>
        <v>5.8999999999999997E-2</v>
      </c>
      <c r="W9" s="11">
        <f t="shared" si="8"/>
        <v>5.2999999999999992E-2</v>
      </c>
    </row>
    <row r="10" spans="1:29" x14ac:dyDescent="0.3">
      <c r="A10" s="14" t="s">
        <v>20</v>
      </c>
      <c r="B10" s="14">
        <v>0.13800000000000001</v>
      </c>
      <c r="C10" s="15" t="s">
        <v>52</v>
      </c>
      <c r="D10" s="9">
        <v>0.154</v>
      </c>
      <c r="E10" s="9">
        <v>0.154</v>
      </c>
      <c r="F10" s="9">
        <v>0.159</v>
      </c>
      <c r="G10" s="9">
        <f t="shared" si="0"/>
        <v>1.5999999999999986E-2</v>
      </c>
      <c r="H10" s="9">
        <f t="shared" si="1"/>
        <v>2.0999999999999991E-2</v>
      </c>
      <c r="I10" s="9">
        <f t="shared" si="2"/>
        <v>1.8499999999999989E-2</v>
      </c>
      <c r="J10" s="16" t="s">
        <v>34</v>
      </c>
      <c r="K10" s="10">
        <v>0.16950000000000001</v>
      </c>
      <c r="L10" s="10">
        <v>0.17</v>
      </c>
      <c r="M10" s="10">
        <v>0.17699999999999999</v>
      </c>
      <c r="N10" s="10">
        <f t="shared" si="3"/>
        <v>3.2000000000000001E-2</v>
      </c>
      <c r="O10" s="10">
        <f t="shared" si="4"/>
        <v>3.8999999999999979E-2</v>
      </c>
      <c r="P10" s="10">
        <f t="shared" si="5"/>
        <v>3.549999999999999E-2</v>
      </c>
      <c r="Q10" s="18" t="s">
        <v>71</v>
      </c>
      <c r="R10" s="11">
        <v>0.185</v>
      </c>
      <c r="S10" s="11">
        <v>0.185</v>
      </c>
      <c r="T10" s="11">
        <v>0.19700000000000001</v>
      </c>
      <c r="U10" s="11">
        <f t="shared" si="6"/>
        <v>4.6999999999999986E-2</v>
      </c>
      <c r="V10" s="11">
        <f t="shared" si="7"/>
        <v>5.8999999999999997E-2</v>
      </c>
      <c r="W10" s="11">
        <f t="shared" si="8"/>
        <v>5.2999999999999992E-2</v>
      </c>
    </row>
    <row r="11" spans="1:29" x14ac:dyDescent="0.3">
      <c r="A11" s="14" t="s">
        <v>21</v>
      </c>
      <c r="B11" s="14">
        <v>0.16400000000000001</v>
      </c>
      <c r="C11" s="15" t="s">
        <v>53</v>
      </c>
      <c r="D11" s="9">
        <v>0.18</v>
      </c>
      <c r="E11" s="9">
        <v>0.18</v>
      </c>
      <c r="F11" s="9">
        <v>0.185</v>
      </c>
      <c r="G11" s="9">
        <f t="shared" si="0"/>
        <v>1.5999999999999986E-2</v>
      </c>
      <c r="H11" s="9">
        <f t="shared" si="1"/>
        <v>2.0999999999999991E-2</v>
      </c>
      <c r="I11" s="9">
        <f t="shared" si="2"/>
        <v>1.8499999999999989E-2</v>
      </c>
      <c r="J11" s="16" t="s">
        <v>35</v>
      </c>
      <c r="K11" s="10">
        <v>0.19600000000000001</v>
      </c>
      <c r="L11" s="10">
        <v>0.19600000000000001</v>
      </c>
      <c r="M11" s="10">
        <v>0.20300000000000001</v>
      </c>
      <c r="N11" s="10">
        <f t="shared" si="3"/>
        <v>3.2000000000000001E-2</v>
      </c>
      <c r="O11" s="10">
        <f t="shared" si="4"/>
        <v>3.9000000000000007E-2</v>
      </c>
      <c r="P11" s="10">
        <f t="shared" si="5"/>
        <v>3.5500000000000004E-2</v>
      </c>
      <c r="Q11" s="18" t="s">
        <v>17</v>
      </c>
      <c r="R11" s="11">
        <v>0.21299999999999999</v>
      </c>
      <c r="S11" s="11">
        <v>0.21299999999999999</v>
      </c>
      <c r="T11" s="11">
        <v>0.22500000000000001</v>
      </c>
      <c r="U11" s="11">
        <f t="shared" si="6"/>
        <v>4.8999999999999988E-2</v>
      </c>
      <c r="V11" s="11">
        <f t="shared" si="7"/>
        <v>6.0999999999999999E-2</v>
      </c>
      <c r="W11" s="11">
        <f t="shared" si="8"/>
        <v>5.4999999999999993E-2</v>
      </c>
    </row>
    <row r="12" spans="1:29" x14ac:dyDescent="0.3">
      <c r="A12" s="14" t="s">
        <v>22</v>
      </c>
      <c r="B12" s="14">
        <v>0.19</v>
      </c>
      <c r="C12" s="15" t="s">
        <v>19</v>
      </c>
      <c r="D12" s="9">
        <v>0.20549999999999999</v>
      </c>
      <c r="E12" s="9">
        <v>0.20599999999999999</v>
      </c>
      <c r="F12" s="9">
        <v>0.21099999999999999</v>
      </c>
      <c r="G12" s="9">
        <f t="shared" si="0"/>
        <v>1.5999999999999986E-2</v>
      </c>
      <c r="H12" s="9">
        <f t="shared" si="1"/>
        <v>2.0999999999999991E-2</v>
      </c>
      <c r="I12" s="9">
        <f t="shared" si="2"/>
        <v>1.8499999999999989E-2</v>
      </c>
      <c r="J12" s="16" t="s">
        <v>16</v>
      </c>
      <c r="K12" s="10">
        <v>0.221</v>
      </c>
      <c r="L12" s="10">
        <v>0.221</v>
      </c>
      <c r="M12" s="10">
        <v>0.22800000000000001</v>
      </c>
      <c r="N12" s="10">
        <f t="shared" si="3"/>
        <v>3.1E-2</v>
      </c>
      <c r="O12" s="10">
        <f t="shared" si="4"/>
        <v>3.8000000000000006E-2</v>
      </c>
      <c r="P12" s="10">
        <f t="shared" si="5"/>
        <v>3.4500000000000003E-2</v>
      </c>
      <c r="Q12" s="18" t="s">
        <v>72</v>
      </c>
      <c r="R12" s="11">
        <v>0.23799999999999999</v>
      </c>
      <c r="S12" s="11">
        <v>0.23799999999999999</v>
      </c>
      <c r="T12" s="11">
        <v>0.25</v>
      </c>
      <c r="U12" s="11">
        <f t="shared" si="6"/>
        <v>4.7999999999999987E-2</v>
      </c>
      <c r="V12" s="11">
        <f t="shared" si="7"/>
        <v>0.06</v>
      </c>
      <c r="W12" s="11">
        <f t="shared" si="8"/>
        <v>5.3999999999999992E-2</v>
      </c>
    </row>
    <row r="13" spans="1:29" x14ac:dyDescent="0.3">
      <c r="A13" s="21" t="s">
        <v>7</v>
      </c>
      <c r="B13" s="21">
        <f xml:space="preserve"> 1 / 4</f>
        <v>0.25</v>
      </c>
      <c r="C13" s="23" t="s">
        <v>58</v>
      </c>
      <c r="D13" s="9">
        <f xml:space="preserve"> 17 / 64</f>
        <v>0.265625</v>
      </c>
      <c r="E13" s="9">
        <v>0.26600000000000001</v>
      </c>
      <c r="F13" s="9">
        <v>0.27200000000000002</v>
      </c>
      <c r="G13" s="9">
        <f t="shared" si="0"/>
        <v>1.6000000000000014E-2</v>
      </c>
      <c r="H13" s="9">
        <f t="shared" si="1"/>
        <v>2.200000000000002E-2</v>
      </c>
      <c r="I13" s="9">
        <f t="shared" si="2"/>
        <v>1.9000000000000017E-2</v>
      </c>
      <c r="J13" s="24" t="s">
        <v>36</v>
      </c>
      <c r="K13" s="10">
        <f xml:space="preserve"> 9 / 32</f>
        <v>0.28125</v>
      </c>
      <c r="L13" s="10">
        <v>0.28100000000000003</v>
      </c>
      <c r="M13" s="10">
        <v>0.28999999999999998</v>
      </c>
      <c r="N13" s="10">
        <f t="shared" si="3"/>
        <v>3.1000000000000028E-2</v>
      </c>
      <c r="O13" s="10">
        <f t="shared" si="4"/>
        <v>3.999999999999998E-2</v>
      </c>
      <c r="P13" s="10">
        <f t="shared" si="5"/>
        <v>3.5500000000000004E-2</v>
      </c>
      <c r="Q13" s="17" t="s">
        <v>74</v>
      </c>
      <c r="R13" s="11">
        <f xml:space="preserve"> 19 / 64</f>
        <v>0.296875</v>
      </c>
      <c r="S13" s="11">
        <v>0.29699999999999999</v>
      </c>
      <c r="T13" s="11">
        <v>0.311</v>
      </c>
      <c r="U13" s="11">
        <f t="shared" si="6"/>
        <v>4.6999999999999986E-2</v>
      </c>
      <c r="V13" s="11">
        <f t="shared" si="7"/>
        <v>6.0999999999999999E-2</v>
      </c>
      <c r="W13" s="11">
        <f t="shared" si="8"/>
        <v>5.3999999999999992E-2</v>
      </c>
    </row>
    <row r="14" spans="1:29" x14ac:dyDescent="0.3">
      <c r="A14" s="25" t="s">
        <v>47</v>
      </c>
      <c r="B14" s="21">
        <f xml:space="preserve"> 5 / 16</f>
        <v>0.3125</v>
      </c>
      <c r="C14" s="23" t="s">
        <v>59</v>
      </c>
      <c r="D14" s="9">
        <f xml:space="preserve"> 21 / 64</f>
        <v>0.328125</v>
      </c>
      <c r="E14" s="9">
        <v>0.32800000000000001</v>
      </c>
      <c r="F14" s="9">
        <v>0.33400000000000002</v>
      </c>
      <c r="G14" s="9">
        <f t="shared" si="0"/>
        <v>1.5500000000000014E-2</v>
      </c>
      <c r="H14" s="9">
        <f t="shared" si="1"/>
        <v>2.1500000000000019E-2</v>
      </c>
      <c r="I14" s="9">
        <f t="shared" si="2"/>
        <v>1.8500000000000016E-2</v>
      </c>
      <c r="J14" s="24" t="s">
        <v>37</v>
      </c>
      <c r="K14" s="10">
        <f xml:space="preserve"> 11 / 32</f>
        <v>0.34375</v>
      </c>
      <c r="L14" s="10">
        <v>0.34399999999999997</v>
      </c>
      <c r="M14" s="10">
        <v>0.35399999999999998</v>
      </c>
      <c r="N14" s="10">
        <f t="shared" si="3"/>
        <v>3.1499999999999972E-2</v>
      </c>
      <c r="O14" s="10">
        <f t="shared" si="4"/>
        <v>4.1499999999999981E-2</v>
      </c>
      <c r="P14" s="10">
        <f t="shared" si="5"/>
        <v>3.6499999999999977E-2</v>
      </c>
      <c r="Q14" s="17" t="s">
        <v>75</v>
      </c>
      <c r="R14" s="11">
        <f xml:space="preserve"> 23 / 64</f>
        <v>0.359375</v>
      </c>
      <c r="S14" s="11">
        <v>0.35899999999999999</v>
      </c>
      <c r="T14" s="11">
        <v>0.373</v>
      </c>
      <c r="U14" s="11">
        <f t="shared" si="6"/>
        <v>4.6499999999999986E-2</v>
      </c>
      <c r="V14" s="11">
        <f t="shared" si="7"/>
        <v>6.0499999999999998E-2</v>
      </c>
      <c r="W14" s="11">
        <f t="shared" si="8"/>
        <v>5.3499999999999992E-2</v>
      </c>
    </row>
    <row r="15" spans="1:29" x14ac:dyDescent="0.3">
      <c r="A15" s="21" t="s">
        <v>8</v>
      </c>
      <c r="B15" s="21">
        <f xml:space="preserve"> 3 / 8</f>
        <v>0.375</v>
      </c>
      <c r="C15" s="23" t="s">
        <v>60</v>
      </c>
      <c r="D15" s="9">
        <f xml:space="preserve"> 25 / 64</f>
        <v>0.390625</v>
      </c>
      <c r="E15" s="9">
        <v>0.39100000000000001</v>
      </c>
      <c r="F15" s="9">
        <v>0.39700000000000002</v>
      </c>
      <c r="G15" s="9">
        <f t="shared" si="0"/>
        <v>1.6000000000000014E-2</v>
      </c>
      <c r="H15" s="9">
        <f t="shared" si="1"/>
        <v>2.200000000000002E-2</v>
      </c>
      <c r="I15" s="9">
        <f t="shared" si="2"/>
        <v>1.9000000000000017E-2</v>
      </c>
      <c r="J15" s="24" t="s">
        <v>37</v>
      </c>
      <c r="K15" s="10">
        <f xml:space="preserve"> 11 / 32</f>
        <v>0.34375</v>
      </c>
      <c r="L15" s="10">
        <v>0.40600000000000003</v>
      </c>
      <c r="M15" s="10">
        <v>0.41599999999999998</v>
      </c>
      <c r="N15" s="10">
        <f t="shared" si="3"/>
        <v>3.1000000000000028E-2</v>
      </c>
      <c r="O15" s="10">
        <f t="shared" si="4"/>
        <v>4.0999999999999981E-2</v>
      </c>
      <c r="P15" s="10">
        <f t="shared" si="5"/>
        <v>3.6000000000000004E-2</v>
      </c>
      <c r="Q15" s="17" t="s">
        <v>76</v>
      </c>
      <c r="R15" s="11">
        <f xml:space="preserve"> 27 / 64</f>
        <v>0.421875</v>
      </c>
      <c r="S15" s="11">
        <v>0.42199999999999999</v>
      </c>
      <c r="T15" s="11">
        <v>0.438</v>
      </c>
      <c r="U15" s="11">
        <f t="shared" si="6"/>
        <v>4.6999999999999986E-2</v>
      </c>
      <c r="V15" s="11">
        <f t="shared" si="7"/>
        <v>6.3E-2</v>
      </c>
      <c r="W15" s="11">
        <f t="shared" si="8"/>
        <v>5.4999999999999993E-2</v>
      </c>
    </row>
    <row r="16" spans="1:29" x14ac:dyDescent="0.3">
      <c r="A16" s="21" t="s">
        <v>9</v>
      </c>
      <c r="B16" s="21">
        <f xml:space="preserve"> 7 / 16</f>
        <v>0.4375</v>
      </c>
      <c r="C16" s="23" t="s">
        <v>61</v>
      </c>
      <c r="D16" s="9">
        <f xml:space="preserve"> 29 / 64</f>
        <v>0.453125</v>
      </c>
      <c r="E16" s="9">
        <v>0.45300000000000001</v>
      </c>
      <c r="F16" s="9">
        <v>0.46</v>
      </c>
      <c r="G16" s="9">
        <f t="shared" si="0"/>
        <v>1.5500000000000014E-2</v>
      </c>
      <c r="H16" s="9">
        <f t="shared" si="1"/>
        <v>2.250000000000002E-2</v>
      </c>
      <c r="I16" s="9">
        <f t="shared" si="2"/>
        <v>1.9000000000000017E-2</v>
      </c>
      <c r="J16" s="24" t="s">
        <v>38</v>
      </c>
      <c r="K16" s="10">
        <f xml:space="preserve"> 13 / 32</f>
        <v>0.40625</v>
      </c>
      <c r="L16" s="10">
        <v>0.46899999999999997</v>
      </c>
      <c r="M16" s="10">
        <v>0.47899999999999998</v>
      </c>
      <c r="N16" s="10">
        <f t="shared" si="3"/>
        <v>3.1499999999999972E-2</v>
      </c>
      <c r="O16" s="10">
        <f t="shared" si="4"/>
        <v>4.1499999999999981E-2</v>
      </c>
      <c r="P16" s="10">
        <f t="shared" si="5"/>
        <v>3.6499999999999977E-2</v>
      </c>
      <c r="Q16" s="17" t="s">
        <v>77</v>
      </c>
      <c r="R16" s="11">
        <f xml:space="preserve"> 31 / 64</f>
        <v>0.484375</v>
      </c>
      <c r="S16" s="11">
        <v>0.48399999999999999</v>
      </c>
      <c r="T16" s="11">
        <v>0.5</v>
      </c>
      <c r="U16" s="11">
        <f t="shared" si="6"/>
        <v>4.6499999999999986E-2</v>
      </c>
      <c r="V16" s="11">
        <f t="shared" si="7"/>
        <v>6.25E-2</v>
      </c>
      <c r="W16" s="11">
        <f t="shared" si="8"/>
        <v>5.4499999999999993E-2</v>
      </c>
    </row>
    <row r="17" spans="1:23" x14ac:dyDescent="0.3">
      <c r="A17" s="21" t="s">
        <v>10</v>
      </c>
      <c r="B17" s="21">
        <f xml:space="preserve"> 1 / 2</f>
        <v>0.5</v>
      </c>
      <c r="C17" s="23" t="s">
        <v>54</v>
      </c>
      <c r="D17" s="9">
        <f xml:space="preserve"> 17 / 32</f>
        <v>0.53125</v>
      </c>
      <c r="E17" s="9">
        <v>0.53100000000000003</v>
      </c>
      <c r="F17" s="9">
        <v>0.53800000000000003</v>
      </c>
      <c r="G17" s="9">
        <f t="shared" si="0"/>
        <v>3.1000000000000028E-2</v>
      </c>
      <c r="H17" s="9">
        <f t="shared" si="1"/>
        <v>3.8000000000000034E-2</v>
      </c>
      <c r="I17" s="9">
        <f t="shared" si="2"/>
        <v>3.4500000000000031E-2</v>
      </c>
      <c r="J17" s="24" t="s">
        <v>39</v>
      </c>
      <c r="K17" s="10">
        <f xml:space="preserve"> 15 / 32</f>
        <v>0.46875</v>
      </c>
      <c r="L17" s="10">
        <v>0.56200000000000006</v>
      </c>
      <c r="M17" s="10">
        <v>0.57199999999999995</v>
      </c>
      <c r="N17" s="10">
        <f t="shared" si="3"/>
        <v>6.2000000000000055E-2</v>
      </c>
      <c r="O17" s="10">
        <f t="shared" si="4"/>
        <v>7.1999999999999953E-2</v>
      </c>
      <c r="P17" s="10">
        <f t="shared" si="5"/>
        <v>6.7000000000000004E-2</v>
      </c>
      <c r="Q17" s="17" t="s">
        <v>78</v>
      </c>
      <c r="R17" s="11">
        <f xml:space="preserve"> 39 / 64</f>
        <v>0.609375</v>
      </c>
      <c r="S17" s="11">
        <v>0.60899999999999999</v>
      </c>
      <c r="T17" s="11">
        <v>0.625</v>
      </c>
      <c r="U17" s="11">
        <f t="shared" si="6"/>
        <v>0.10899999999999999</v>
      </c>
      <c r="V17" s="11">
        <f t="shared" si="7"/>
        <v>0.125</v>
      </c>
      <c r="W17" s="11">
        <f t="shared" si="8"/>
        <v>0.11699999999999999</v>
      </c>
    </row>
    <row r="18" spans="1:23" x14ac:dyDescent="0.3">
      <c r="A18" s="21" t="s">
        <v>11</v>
      </c>
      <c r="B18" s="21">
        <f xml:space="preserve"> 5 / 8</f>
        <v>0.625</v>
      </c>
      <c r="C18" s="23" t="s">
        <v>55</v>
      </c>
      <c r="D18" s="9">
        <f xml:space="preserve"> 21 / 32</f>
        <v>0.65625</v>
      </c>
      <c r="E18" s="9">
        <v>0.65600000000000003</v>
      </c>
      <c r="F18" s="9">
        <v>0.66300000000000003</v>
      </c>
      <c r="G18" s="9">
        <f t="shared" si="0"/>
        <v>3.1000000000000028E-2</v>
      </c>
      <c r="H18" s="9">
        <f t="shared" si="1"/>
        <v>3.8000000000000034E-2</v>
      </c>
      <c r="I18" s="9">
        <f t="shared" si="2"/>
        <v>3.4500000000000031E-2</v>
      </c>
      <c r="J18" s="24" t="s">
        <v>40</v>
      </c>
      <c r="K18" s="10">
        <f xml:space="preserve"> 9 / 16</f>
        <v>0.5625</v>
      </c>
      <c r="L18" s="10">
        <v>0.68799999999999994</v>
      </c>
      <c r="M18" s="10">
        <v>0.69799999999999995</v>
      </c>
      <c r="N18" s="10">
        <f t="shared" si="3"/>
        <v>6.2999999999999945E-2</v>
      </c>
      <c r="O18" s="10">
        <f t="shared" si="4"/>
        <v>7.2999999999999954E-2</v>
      </c>
      <c r="P18" s="10">
        <f t="shared" si="5"/>
        <v>6.7999999999999949E-2</v>
      </c>
      <c r="Q18" s="17" t="s">
        <v>79</v>
      </c>
      <c r="R18" s="11">
        <f xml:space="preserve"> 47 / 64</f>
        <v>0.734375</v>
      </c>
      <c r="S18" s="11">
        <v>0.73399999999999999</v>
      </c>
      <c r="T18" s="11">
        <v>0.754</v>
      </c>
      <c r="U18" s="11">
        <f t="shared" si="6"/>
        <v>0.10899999999999999</v>
      </c>
      <c r="V18" s="11">
        <f t="shared" si="7"/>
        <v>0.129</v>
      </c>
      <c r="W18" s="11">
        <f t="shared" si="8"/>
        <v>0.11899999999999999</v>
      </c>
    </row>
    <row r="19" spans="1:23" x14ac:dyDescent="0.3">
      <c r="A19" s="21" t="s">
        <v>12</v>
      </c>
      <c r="B19" s="21">
        <f xml:space="preserve"> 3 / 4</f>
        <v>0.75</v>
      </c>
      <c r="C19" s="23" t="s">
        <v>56</v>
      </c>
      <c r="D19" s="9">
        <f xml:space="preserve"> 25 / 32</f>
        <v>0.78125</v>
      </c>
      <c r="E19" s="9">
        <v>0.78100000000000003</v>
      </c>
      <c r="F19" s="9">
        <v>0.78900000000000003</v>
      </c>
      <c r="G19" s="9">
        <f t="shared" si="0"/>
        <v>3.1000000000000028E-2</v>
      </c>
      <c r="H19" s="9">
        <f t="shared" si="1"/>
        <v>3.9000000000000035E-2</v>
      </c>
      <c r="I19" s="9">
        <f t="shared" si="2"/>
        <v>3.5000000000000031E-2</v>
      </c>
      <c r="J19" s="24" t="s">
        <v>41</v>
      </c>
      <c r="K19" s="10">
        <f xml:space="preserve"> 11 / 16</f>
        <v>0.6875</v>
      </c>
      <c r="L19" s="10">
        <v>0.81200000000000006</v>
      </c>
      <c r="M19" s="10">
        <v>0.82399999999999995</v>
      </c>
      <c r="N19" s="10">
        <f t="shared" si="3"/>
        <v>6.2000000000000055E-2</v>
      </c>
      <c r="O19" s="10">
        <f t="shared" si="4"/>
        <v>7.3999999999999955E-2</v>
      </c>
      <c r="P19" s="10">
        <f t="shared" si="5"/>
        <v>6.8000000000000005E-2</v>
      </c>
      <c r="Q19" s="17" t="s">
        <v>57</v>
      </c>
      <c r="R19" s="11">
        <f xml:space="preserve"> 29 / 32</f>
        <v>0.90625</v>
      </c>
      <c r="S19" s="11">
        <v>0.90600000000000003</v>
      </c>
      <c r="T19" s="11">
        <v>0.92600000000000005</v>
      </c>
      <c r="U19" s="11">
        <f t="shared" si="6"/>
        <v>0.15600000000000003</v>
      </c>
      <c r="V19" s="11">
        <f t="shared" si="7"/>
        <v>0.17600000000000005</v>
      </c>
      <c r="W19" s="11">
        <f t="shared" si="8"/>
        <v>0.16600000000000004</v>
      </c>
    </row>
    <row r="20" spans="1:23" x14ac:dyDescent="0.3">
      <c r="A20" s="21" t="s">
        <v>13</v>
      </c>
      <c r="B20" s="21">
        <f xml:space="preserve"> 7 / 8</f>
        <v>0.875</v>
      </c>
      <c r="C20" s="23" t="s">
        <v>57</v>
      </c>
      <c r="D20" s="9">
        <f xml:space="preserve"> 29 / 32</f>
        <v>0.90625</v>
      </c>
      <c r="E20" s="9">
        <v>0.90600000000000003</v>
      </c>
      <c r="F20" s="9">
        <v>0.91400000000000003</v>
      </c>
      <c r="G20" s="9">
        <f t="shared" si="0"/>
        <v>3.1000000000000028E-2</v>
      </c>
      <c r="H20" s="9">
        <f t="shared" si="1"/>
        <v>3.9000000000000035E-2</v>
      </c>
      <c r="I20" s="9">
        <f t="shared" si="2"/>
        <v>3.5000000000000031E-2</v>
      </c>
      <c r="J20" s="24" t="s">
        <v>42</v>
      </c>
      <c r="K20" s="10">
        <f xml:space="preserve"> 15 / 16</f>
        <v>0.9375</v>
      </c>
      <c r="L20" s="10">
        <v>0.93799999999999994</v>
      </c>
      <c r="M20" s="10">
        <v>0.95</v>
      </c>
      <c r="N20" s="10">
        <f t="shared" si="3"/>
        <v>6.2999999999999945E-2</v>
      </c>
      <c r="O20" s="10">
        <f t="shared" si="4"/>
        <v>7.4999999999999956E-2</v>
      </c>
      <c r="P20" s="10">
        <f t="shared" si="5"/>
        <v>6.899999999999995E-2</v>
      </c>
      <c r="Q20" s="17" t="s">
        <v>80</v>
      </c>
      <c r="R20" s="11">
        <f xml:space="preserve"> (1 + 32) / 32</f>
        <v>1.03125</v>
      </c>
      <c r="S20" s="11">
        <v>1.0309999999999999</v>
      </c>
      <c r="T20" s="11">
        <v>1.0509999999999999</v>
      </c>
      <c r="U20" s="11">
        <f t="shared" si="6"/>
        <v>0.15599999999999992</v>
      </c>
      <c r="V20" s="11">
        <f t="shared" si="7"/>
        <v>0.17599999999999993</v>
      </c>
      <c r="W20" s="11">
        <f t="shared" si="8"/>
        <v>0.16599999999999993</v>
      </c>
    </row>
    <row r="21" spans="1:23" x14ac:dyDescent="0.3">
      <c r="A21" s="26" t="s">
        <v>23</v>
      </c>
      <c r="B21" s="27">
        <f xml:space="preserve"> 1</f>
        <v>1</v>
      </c>
      <c r="C21" s="28" t="s">
        <v>62</v>
      </c>
      <c r="D21" s="9">
        <f xml:space="preserve"> (1 + 32) / 32</f>
        <v>1.03125</v>
      </c>
      <c r="E21" s="9">
        <v>1.0309999999999999</v>
      </c>
      <c r="F21" s="9">
        <v>1.0389999999999999</v>
      </c>
      <c r="G21" s="9">
        <f t="shared" si="0"/>
        <v>3.0999999999999917E-2</v>
      </c>
      <c r="H21" s="9">
        <f t="shared" si="1"/>
        <v>3.8999999999999924E-2</v>
      </c>
      <c r="I21" s="9">
        <f t="shared" si="2"/>
        <v>3.499999999999992E-2</v>
      </c>
      <c r="J21" s="24" t="s">
        <v>43</v>
      </c>
      <c r="K21" s="10">
        <f xml:space="preserve"> (3 + 32) / 32</f>
        <v>1.09375</v>
      </c>
      <c r="L21" s="10">
        <v>1.0940000000000001</v>
      </c>
      <c r="M21" s="10">
        <v>1.1060000000000001</v>
      </c>
      <c r="N21" s="10">
        <f t="shared" si="3"/>
        <v>9.4000000000000083E-2</v>
      </c>
      <c r="O21" s="10">
        <f t="shared" si="4"/>
        <v>0.10600000000000009</v>
      </c>
      <c r="P21" s="10">
        <f t="shared" si="5"/>
        <v>0.10000000000000009</v>
      </c>
      <c r="Q21" s="17" t="s">
        <v>63</v>
      </c>
      <c r="R21" s="11">
        <f xml:space="preserve"> (5 + 32) / 32</f>
        <v>1.15625</v>
      </c>
      <c r="S21" s="11">
        <v>1.1559999999999999</v>
      </c>
      <c r="T21" s="11">
        <v>1.181</v>
      </c>
      <c r="U21" s="11">
        <f t="shared" si="6"/>
        <v>0.15599999999999992</v>
      </c>
      <c r="V21" s="11">
        <f t="shared" si="7"/>
        <v>0.18100000000000005</v>
      </c>
      <c r="W21" s="11">
        <f t="shared" si="8"/>
        <v>0.16849999999999998</v>
      </c>
    </row>
    <row r="22" spans="1:23" x14ac:dyDescent="0.3">
      <c r="A22" s="29" t="s">
        <v>24</v>
      </c>
      <c r="B22" s="27">
        <f xml:space="preserve"> 1 + 1 / 8</f>
        <v>1.125</v>
      </c>
      <c r="C22" s="28" t="s">
        <v>63</v>
      </c>
      <c r="D22" s="9">
        <f xml:space="preserve"> (5 + 32) / 32</f>
        <v>1.15625</v>
      </c>
      <c r="E22" s="9">
        <v>1.1559999999999999</v>
      </c>
      <c r="F22" s="9">
        <v>1.1639999999999999</v>
      </c>
      <c r="G22" s="9">
        <f t="shared" si="0"/>
        <v>3.0999999999999917E-2</v>
      </c>
      <c r="H22" s="9">
        <f t="shared" si="1"/>
        <v>3.8999999999999924E-2</v>
      </c>
      <c r="I22" s="9">
        <f t="shared" si="2"/>
        <v>3.499999999999992E-2</v>
      </c>
      <c r="J22" s="24" t="s">
        <v>44</v>
      </c>
      <c r="K22" s="10">
        <f xml:space="preserve"> (7 + 32) / 32</f>
        <v>1.21875</v>
      </c>
      <c r="L22" s="10">
        <v>1.2190000000000001</v>
      </c>
      <c r="M22" s="10">
        <v>1.2350000000000001</v>
      </c>
      <c r="N22" s="10">
        <f t="shared" si="3"/>
        <v>9.4000000000000083E-2</v>
      </c>
      <c r="O22" s="10">
        <f t="shared" si="4"/>
        <v>0.1100000000000001</v>
      </c>
      <c r="P22" s="10">
        <f t="shared" si="5"/>
        <v>0.10200000000000009</v>
      </c>
      <c r="Q22" s="17" t="s">
        <v>81</v>
      </c>
      <c r="R22" s="11">
        <f xml:space="preserve"> (5 + 16) / 32</f>
        <v>0.65625</v>
      </c>
      <c r="S22" s="11">
        <v>1.3120000000000001</v>
      </c>
      <c r="T22" s="11">
        <v>1.337</v>
      </c>
      <c r="U22" s="11">
        <f t="shared" si="6"/>
        <v>0.18700000000000006</v>
      </c>
      <c r="V22" s="11">
        <f t="shared" si="7"/>
        <v>0.21199999999999997</v>
      </c>
      <c r="W22" s="11">
        <f t="shared" si="8"/>
        <v>0.19950000000000001</v>
      </c>
    </row>
    <row r="23" spans="1:23" x14ac:dyDescent="0.3">
      <c r="A23" s="30" t="s">
        <v>25</v>
      </c>
      <c r="B23" s="27">
        <f xml:space="preserve"> 1 + 1 / 4</f>
        <v>1.25</v>
      </c>
      <c r="C23" s="28" t="s">
        <v>64</v>
      </c>
      <c r="D23" s="9">
        <f xml:space="preserve"> (9 + 32) / 32</f>
        <v>1.28125</v>
      </c>
      <c r="E23" s="9">
        <v>1.2809999999999999</v>
      </c>
      <c r="F23" s="9">
        <v>1.2909999999999999</v>
      </c>
      <c r="G23" s="9">
        <f t="shared" si="0"/>
        <v>3.0999999999999917E-2</v>
      </c>
      <c r="H23" s="9">
        <f t="shared" si="1"/>
        <v>4.0999999999999925E-2</v>
      </c>
      <c r="I23" s="9">
        <f t="shared" si="2"/>
        <v>3.5999999999999921E-2</v>
      </c>
      <c r="J23" s="24" t="s">
        <v>45</v>
      </c>
      <c r="K23" s="10">
        <f xml:space="preserve"> (11 + 32) / 32</f>
        <v>1.34375</v>
      </c>
      <c r="L23" s="10">
        <v>1.3440000000000001</v>
      </c>
      <c r="M23" s="10">
        <v>1.36</v>
      </c>
      <c r="N23" s="10">
        <f t="shared" si="3"/>
        <v>9.4000000000000083E-2</v>
      </c>
      <c r="O23" s="10">
        <f t="shared" si="4"/>
        <v>0.1100000000000001</v>
      </c>
      <c r="P23" s="10">
        <f t="shared" si="5"/>
        <v>0.10200000000000009</v>
      </c>
      <c r="Q23" s="17" t="s">
        <v>65</v>
      </c>
      <c r="R23" s="11">
        <f xml:space="preserve"> (7 + 16) / 32</f>
        <v>0.71875</v>
      </c>
      <c r="S23" s="11">
        <v>1.4379999999999999</v>
      </c>
      <c r="T23" s="11">
        <v>1.4630000000000001</v>
      </c>
      <c r="U23" s="11">
        <f t="shared" si="6"/>
        <v>0.18799999999999994</v>
      </c>
      <c r="V23" s="11">
        <f t="shared" si="7"/>
        <v>0.21300000000000008</v>
      </c>
      <c r="W23" s="11">
        <f t="shared" si="8"/>
        <v>0.20050000000000001</v>
      </c>
    </row>
    <row r="24" spans="1:23" x14ac:dyDescent="0.3">
      <c r="A24" s="26" t="s">
        <v>26</v>
      </c>
      <c r="B24" s="27">
        <f xml:space="preserve"> 1 + 3 / 8</f>
        <v>1.375</v>
      </c>
      <c r="C24" s="28" t="s">
        <v>65</v>
      </c>
      <c r="D24" s="9">
        <f xml:space="preserve"> (7 + 16) / 32</f>
        <v>0.71875</v>
      </c>
      <c r="E24" s="9">
        <v>1.4379999999999999</v>
      </c>
      <c r="F24" s="9">
        <v>1.448</v>
      </c>
      <c r="G24" s="9">
        <f t="shared" si="0"/>
        <v>6.2999999999999945E-2</v>
      </c>
      <c r="H24" s="9">
        <f t="shared" si="1"/>
        <v>7.2999999999999954E-2</v>
      </c>
      <c r="I24" s="9">
        <f t="shared" si="2"/>
        <v>6.7999999999999949E-2</v>
      </c>
      <c r="J24" s="24" t="s">
        <v>27</v>
      </c>
      <c r="K24" s="10">
        <f xml:space="preserve"> 3 / 2</f>
        <v>1.5</v>
      </c>
      <c r="L24" s="10">
        <v>1.5</v>
      </c>
      <c r="M24" s="10">
        <v>1.516</v>
      </c>
      <c r="N24" s="10">
        <f t="shared" si="3"/>
        <v>0.125</v>
      </c>
      <c r="O24" s="10">
        <f t="shared" si="4"/>
        <v>0.14100000000000001</v>
      </c>
      <c r="P24" s="10">
        <f t="shared" si="5"/>
        <v>0.13300000000000001</v>
      </c>
      <c r="Q24" s="17" t="s">
        <v>82</v>
      </c>
      <c r="R24" s="11">
        <f xml:space="preserve"> (39 + 64) / 32</f>
        <v>3.21875</v>
      </c>
      <c r="S24" s="11">
        <v>1.609</v>
      </c>
      <c r="T24" s="11">
        <v>1.6339999999999999</v>
      </c>
      <c r="U24" s="11">
        <f t="shared" si="6"/>
        <v>0.23399999999999999</v>
      </c>
      <c r="V24" s="11">
        <f t="shared" si="7"/>
        <v>0.2589999999999999</v>
      </c>
      <c r="W24" s="11">
        <f t="shared" si="8"/>
        <v>0.24649999999999994</v>
      </c>
    </row>
    <row r="25" spans="1:23" x14ac:dyDescent="0.3">
      <c r="A25" s="26" t="s">
        <v>27</v>
      </c>
      <c r="B25" s="27">
        <f xml:space="preserve"> 1 + 1 / 2</f>
        <v>1.5</v>
      </c>
      <c r="C25" s="28" t="s">
        <v>66</v>
      </c>
      <c r="D25" s="9">
        <f xml:space="preserve"> (9 + 16) / 32</f>
        <v>0.78125</v>
      </c>
      <c r="E25" s="9">
        <v>1.5620000000000001</v>
      </c>
      <c r="F25" s="9">
        <v>1.5720000000000001</v>
      </c>
      <c r="G25" s="9">
        <f t="shared" si="0"/>
        <v>6.2000000000000055E-2</v>
      </c>
      <c r="H25" s="9">
        <f t="shared" si="1"/>
        <v>7.2000000000000064E-2</v>
      </c>
      <c r="I25" s="9">
        <f t="shared" si="2"/>
        <v>6.700000000000006E-2</v>
      </c>
      <c r="J25" s="24" t="s">
        <v>46</v>
      </c>
      <c r="K25" s="10">
        <f xml:space="preserve"> (5 + 8) / 8</f>
        <v>1.625</v>
      </c>
      <c r="L25" s="10">
        <v>1.625</v>
      </c>
      <c r="M25" s="10">
        <v>1.641</v>
      </c>
      <c r="N25" s="10">
        <f t="shared" si="3"/>
        <v>0.125</v>
      </c>
      <c r="O25" s="10">
        <f t="shared" si="4"/>
        <v>0.14100000000000001</v>
      </c>
      <c r="P25" s="10">
        <f t="shared" si="5"/>
        <v>0.13300000000000001</v>
      </c>
      <c r="Q25" s="17" t="s">
        <v>83</v>
      </c>
      <c r="R25" s="11">
        <f xml:space="preserve"> (47 + 64) / 32</f>
        <v>3.46875</v>
      </c>
      <c r="S25" s="11">
        <v>1.734</v>
      </c>
      <c r="T25" s="11">
        <v>1.7589999999999999</v>
      </c>
      <c r="U25" s="11">
        <f t="shared" si="6"/>
        <v>0.23399999999999999</v>
      </c>
      <c r="V25" s="11">
        <f t="shared" si="7"/>
        <v>0.2589999999999999</v>
      </c>
      <c r="W25" s="11">
        <f t="shared" si="8"/>
        <v>0.24649999999999994</v>
      </c>
    </row>
  </sheetData>
  <sheetProtection sheet="1" objects="1" scenarios="1"/>
  <mergeCells count="10">
    <mergeCell ref="AA1:AC1"/>
    <mergeCell ref="E2:F2"/>
    <mergeCell ref="L2:M2"/>
    <mergeCell ref="S2:T2"/>
    <mergeCell ref="N2:O2"/>
    <mergeCell ref="U2:V2"/>
    <mergeCell ref="G2:H2"/>
    <mergeCell ref="C1:I1"/>
    <mergeCell ref="J1:P1"/>
    <mergeCell ref="Q1:W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</vt:lpstr>
      <vt:lpstr>Imperial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Cheese</dc:creator>
  <cp:lastModifiedBy>Cheese</cp:lastModifiedBy>
  <cp:revision>2</cp:revision>
  <dcterms:created xsi:type="dcterms:W3CDTF">2026-05-13T22:59:42Z</dcterms:created>
  <dcterms:modified xsi:type="dcterms:W3CDTF">2026-08-23T04:33:26Z</dcterms:modified>
</cp:coreProperties>
</file>