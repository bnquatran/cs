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Cheese\Desktop\DMT 84A\"/>
    </mc:Choice>
  </mc:AlternateContent>
  <bookViews>
    <workbookView xWindow="360" yWindow="12" windowWidth="20952" windowHeight="9720" firstSheet="1" activeTab="3"/>
  </bookViews>
  <sheets>
    <sheet name="Drilling Milling Tapping" sheetId="1" r:id="rId1"/>
    <sheet name="Tapping" sheetId="2" r:id="rId2"/>
    <sheet name="Light - Heavy Cut" sheetId="3" r:id="rId3"/>
    <sheet name="Axial vs. Radial - Peripheral" sheetId="4" r:id="rId4"/>
    <sheet name="High Efficiency" sheetId="5" r:id="rId5"/>
    <sheet name="Gen. Drill Mill Chamfer HSST" sheetId="6" r:id="rId6"/>
  </sheets>
  <calcPr calcId="162913"/>
</workbook>
</file>

<file path=xl/calcChain.xml><?xml version="1.0" encoding="utf-8"?>
<calcChain xmlns="http://schemas.openxmlformats.org/spreadsheetml/2006/main">
  <c r="D25" i="4" l="1"/>
  <c r="D26" i="4"/>
  <c r="D27" i="4"/>
  <c r="D28" i="4"/>
  <c r="D29" i="4"/>
  <c r="D30" i="4"/>
  <c r="D31" i="4"/>
  <c r="D32" i="4"/>
  <c r="D33" i="4"/>
  <c r="D34" i="4"/>
  <c r="D35" i="4"/>
  <c r="D36" i="4"/>
  <c r="D37" i="4"/>
  <c r="D38" i="4"/>
  <c r="D39" i="4"/>
  <c r="D40" i="4"/>
  <c r="D41" i="4"/>
  <c r="D42" i="4"/>
  <c r="D43" i="4"/>
  <c r="D24" i="4"/>
  <c r="C24" i="4"/>
  <c r="C25" i="4"/>
  <c r="C29" i="4"/>
  <c r="C27" i="4"/>
  <c r="C31" i="4"/>
  <c r="C33" i="4"/>
  <c r="I6" i="5" l="1"/>
  <c r="H6" i="5" s="1"/>
  <c r="G6" i="5"/>
  <c r="E6" i="5"/>
  <c r="D6" i="5" s="1"/>
  <c r="C6" i="5"/>
  <c r="L3" i="5"/>
  <c r="K3" i="5" s="1"/>
  <c r="J3" i="5"/>
  <c r="I3" i="5"/>
  <c r="H3" i="5" s="1"/>
  <c r="G3" i="5"/>
  <c r="E3" i="5"/>
  <c r="D3" i="5" s="1"/>
  <c r="C3" i="5"/>
  <c r="B21" i="4"/>
  <c r="B20" i="4"/>
  <c r="B19" i="4"/>
  <c r="B18" i="4"/>
  <c r="B17" i="4"/>
  <c r="B16" i="4"/>
  <c r="B15" i="4"/>
  <c r="B14" i="4"/>
  <c r="B13" i="4"/>
  <c r="B12" i="4"/>
  <c r="C11" i="4"/>
  <c r="R7" i="4" s="1"/>
  <c r="B11" i="4"/>
  <c r="Q7" i="4" s="1"/>
  <c r="B10" i="4"/>
  <c r="C9" i="4"/>
  <c r="R6" i="4" s="1"/>
  <c r="B9" i="4"/>
  <c r="Q6" i="4" s="1"/>
  <c r="B8" i="4"/>
  <c r="C7" i="4"/>
  <c r="R5" i="4" s="1"/>
  <c r="B7" i="4"/>
  <c r="Q5" i="4" s="1"/>
  <c r="B6" i="4"/>
  <c r="C5" i="4"/>
  <c r="R4" i="4" s="1"/>
  <c r="B5" i="4"/>
  <c r="Q4" i="4" s="1"/>
  <c r="B4" i="4"/>
  <c r="C3" i="4"/>
  <c r="R3" i="4" s="1"/>
  <c r="B3" i="4"/>
  <c r="Q3" i="4" s="1"/>
  <c r="C2" i="4"/>
  <c r="R2" i="4" s="1"/>
  <c r="B2" i="4"/>
  <c r="Q2" i="4" s="1"/>
  <c r="J7" i="3"/>
  <c r="G7" i="3"/>
  <c r="D7" i="3"/>
  <c r="C7" i="3" s="1"/>
  <c r="B7" i="3"/>
  <c r="J3" i="3"/>
  <c r="I3" i="3" s="1"/>
  <c r="H3" i="3"/>
  <c r="G3" i="3"/>
  <c r="E3" i="3"/>
  <c r="D3" i="3"/>
  <c r="B3" i="3"/>
  <c r="C3" i="3" s="1"/>
  <c r="E23" i="2"/>
  <c r="G23" i="2" s="1"/>
  <c r="D23" i="2"/>
  <c r="E22" i="2"/>
  <c r="G22" i="2" s="1"/>
  <c r="D21" i="2"/>
  <c r="E21" i="2" s="1"/>
  <c r="G21" i="2" s="1"/>
  <c r="G20" i="2"/>
  <c r="E20" i="2"/>
  <c r="E19" i="2"/>
  <c r="G19" i="2" s="1"/>
  <c r="E18" i="2"/>
  <c r="G18" i="2" s="1"/>
  <c r="D18" i="2"/>
  <c r="E17" i="2"/>
  <c r="G17" i="2" s="1"/>
  <c r="D16" i="2"/>
  <c r="E16" i="2" s="1"/>
  <c r="G16" i="2" s="1"/>
  <c r="G15" i="2"/>
  <c r="E15" i="2"/>
  <c r="D15" i="2"/>
  <c r="E14" i="2"/>
  <c r="G14" i="2" s="1"/>
  <c r="G13" i="2"/>
  <c r="E13" i="2"/>
  <c r="D13" i="2"/>
  <c r="D12" i="2"/>
  <c r="E12" i="2" s="1"/>
  <c r="G12" i="2" s="1"/>
  <c r="E11" i="2"/>
  <c r="G11" i="2" s="1"/>
  <c r="D11" i="2"/>
  <c r="E10" i="2"/>
  <c r="G10" i="2" s="1"/>
  <c r="G9" i="2"/>
  <c r="E9" i="2"/>
  <c r="D9" i="2"/>
  <c r="E8" i="2"/>
  <c r="G8" i="2" s="1"/>
  <c r="D8" i="2"/>
  <c r="D7" i="2"/>
  <c r="E7" i="2" s="1"/>
  <c r="G7" i="2" s="1"/>
  <c r="D6" i="2"/>
  <c r="E6" i="2" s="1"/>
  <c r="G6" i="2" s="1"/>
  <c r="E5" i="2"/>
  <c r="G5" i="2" s="1"/>
  <c r="D5" i="2"/>
  <c r="E4" i="2"/>
  <c r="G4" i="2" s="1"/>
  <c r="E3" i="2"/>
  <c r="G3" i="2" s="1"/>
  <c r="F2" i="2"/>
  <c r="E2" i="2"/>
  <c r="G2" i="2" s="1"/>
  <c r="G35" i="1"/>
  <c r="O35" i="1" s="1"/>
  <c r="P35" i="1" s="1"/>
  <c r="G34" i="1"/>
  <c r="T34" i="1" s="1"/>
  <c r="J33" i="1"/>
  <c r="S33" i="1" s="1"/>
  <c r="I33" i="1"/>
  <c r="G33" i="1"/>
  <c r="T33" i="1" s="1"/>
  <c r="P32" i="1"/>
  <c r="O32" i="1"/>
  <c r="J32" i="1"/>
  <c r="S32" i="1" s="1"/>
  <c r="H32" i="1"/>
  <c r="U32" i="1" s="1"/>
  <c r="G32" i="1"/>
  <c r="T32" i="1" s="1"/>
  <c r="O31" i="1"/>
  <c r="P31" i="1" s="1"/>
  <c r="G31" i="1"/>
  <c r="T31" i="1" s="1"/>
  <c r="P30" i="1"/>
  <c r="O30" i="1"/>
  <c r="J30" i="1"/>
  <c r="S30" i="1" s="1"/>
  <c r="I30" i="1"/>
  <c r="V30" i="1" s="1"/>
  <c r="H30" i="1"/>
  <c r="U30" i="1" s="1"/>
  <c r="G30" i="1"/>
  <c r="T30" i="1" s="1"/>
  <c r="O29" i="1"/>
  <c r="P29" i="1" s="1"/>
  <c r="H29" i="1"/>
  <c r="U29" i="1" s="1"/>
  <c r="G29" i="1"/>
  <c r="N29" i="1" s="1"/>
  <c r="O28" i="1"/>
  <c r="P28" i="1" s="1"/>
  <c r="H28" i="1"/>
  <c r="U28" i="1" s="1"/>
  <c r="G28" i="1"/>
  <c r="N28" i="1" s="1"/>
  <c r="G27" i="1"/>
  <c r="H27" i="1" s="1"/>
  <c r="G26" i="1"/>
  <c r="I26" i="1" s="1"/>
  <c r="G25" i="1"/>
  <c r="J25" i="1" s="1"/>
  <c r="S25" i="1" s="1"/>
  <c r="J24" i="1"/>
  <c r="S24" i="1" s="1"/>
  <c r="G24" i="1"/>
  <c r="J23" i="1"/>
  <c r="S23" i="1" s="1"/>
  <c r="I23" i="1"/>
  <c r="V23" i="1" s="1"/>
  <c r="G23" i="1"/>
  <c r="O23" i="1" s="1"/>
  <c r="P23" i="1" s="1"/>
  <c r="J22" i="1"/>
  <c r="S22" i="1" s="1"/>
  <c r="I22" i="1"/>
  <c r="R22" i="1" s="1"/>
  <c r="H22" i="1"/>
  <c r="U22" i="1" s="1"/>
  <c r="G22" i="1"/>
  <c r="T22" i="1" s="1"/>
  <c r="O21" i="1"/>
  <c r="P21" i="1" s="1"/>
  <c r="J21" i="1"/>
  <c r="S21" i="1" s="1"/>
  <c r="H21" i="1"/>
  <c r="G21" i="1"/>
  <c r="T21" i="1" s="1"/>
  <c r="O20" i="1"/>
  <c r="P20" i="1" s="1"/>
  <c r="H20" i="1"/>
  <c r="U20" i="1" s="1"/>
  <c r="G20" i="1"/>
  <c r="T20" i="1" s="1"/>
  <c r="J19" i="1"/>
  <c r="S19" i="1" s="1"/>
  <c r="I19" i="1"/>
  <c r="V19" i="1" s="1"/>
  <c r="G19" i="1"/>
  <c r="T19" i="1" s="1"/>
  <c r="G18" i="1"/>
  <c r="T18" i="1" s="1"/>
  <c r="P17" i="1"/>
  <c r="O17" i="1"/>
  <c r="I17" i="1"/>
  <c r="V17" i="1" s="1"/>
  <c r="G17" i="1"/>
  <c r="H17" i="1" s="1"/>
  <c r="S16" i="1"/>
  <c r="J16" i="1"/>
  <c r="G16" i="1"/>
  <c r="H16" i="1" s="1"/>
  <c r="G15" i="1"/>
  <c r="H15" i="1" s="1"/>
  <c r="H14" i="1"/>
  <c r="G14" i="1"/>
  <c r="I14" i="1" s="1"/>
  <c r="G13" i="1"/>
  <c r="J13" i="1" s="1"/>
  <c r="S13" i="1" s="1"/>
  <c r="G12" i="1"/>
  <c r="N12" i="1" s="1"/>
  <c r="J11" i="1"/>
  <c r="S11" i="1" s="1"/>
  <c r="H11" i="1"/>
  <c r="U11" i="1" s="1"/>
  <c r="G11" i="1"/>
  <c r="O11" i="1" s="1"/>
  <c r="P11" i="1" s="1"/>
  <c r="N10" i="1"/>
  <c r="J10" i="1"/>
  <c r="S10" i="1" s="1"/>
  <c r="G10" i="1"/>
  <c r="T10" i="1" s="1"/>
  <c r="P9" i="1"/>
  <c r="O9" i="1"/>
  <c r="H9" i="1"/>
  <c r="G9" i="1"/>
  <c r="T9" i="1" s="1"/>
  <c r="I7" i="1"/>
  <c r="R7" i="1" s="1"/>
  <c r="G7" i="1"/>
  <c r="T7" i="1" s="1"/>
  <c r="O6" i="1"/>
  <c r="P6" i="1" s="1"/>
  <c r="N6" i="1"/>
  <c r="J6" i="1"/>
  <c r="S6" i="1" s="1"/>
  <c r="G6" i="1"/>
  <c r="T6" i="1" s="1"/>
  <c r="S5" i="1"/>
  <c r="O5" i="1"/>
  <c r="P5" i="1" s="1"/>
  <c r="N5" i="1"/>
  <c r="J5" i="1"/>
  <c r="I5" i="1"/>
  <c r="V5" i="1" s="1"/>
  <c r="H5" i="1"/>
  <c r="U5" i="1" s="1"/>
  <c r="G5" i="1"/>
  <c r="T5" i="1" s="1"/>
  <c r="O4" i="1"/>
  <c r="P4" i="1" s="1"/>
  <c r="G4" i="1"/>
  <c r="H4" i="1" s="1"/>
  <c r="T3" i="1"/>
  <c r="M3" i="1"/>
  <c r="L3" i="1"/>
  <c r="K3" i="1"/>
  <c r="R17" i="1" s="1"/>
  <c r="I3" i="1"/>
  <c r="V3" i="1" s="1"/>
  <c r="G3" i="1"/>
  <c r="J3" i="1" s="1"/>
  <c r="S3" i="1" s="1"/>
  <c r="H18" i="1" l="1"/>
  <c r="Q30" i="1"/>
  <c r="N33" i="1"/>
  <c r="F3" i="3"/>
  <c r="H13" i="1"/>
  <c r="U13" i="1" s="1"/>
  <c r="O10" i="1"/>
  <c r="P10" i="1" s="1"/>
  <c r="I13" i="1"/>
  <c r="V13" i="1" s="1"/>
  <c r="T16" i="1"/>
  <c r="I18" i="1"/>
  <c r="N19" i="1"/>
  <c r="Q20" i="1"/>
  <c r="N22" i="1"/>
  <c r="H25" i="1"/>
  <c r="Q25" i="1" s="1"/>
  <c r="Q28" i="1"/>
  <c r="Q29" i="1"/>
  <c r="R30" i="1"/>
  <c r="O33" i="1"/>
  <c r="P33" i="1" s="1"/>
  <c r="Q9" i="1"/>
  <c r="J18" i="1"/>
  <c r="S18" i="1" s="1"/>
  <c r="O19" i="1"/>
  <c r="P19" i="1" s="1"/>
  <c r="O22" i="1"/>
  <c r="P22" i="1" s="1"/>
  <c r="I25" i="1"/>
  <c r="R25" i="1" s="1"/>
  <c r="I32" i="1"/>
  <c r="R32" i="1" s="1"/>
  <c r="Q14" i="1"/>
  <c r="Q21" i="1"/>
  <c r="I4" i="1"/>
  <c r="J4" i="1"/>
  <c r="S4" i="1" s="1"/>
  <c r="I9" i="1"/>
  <c r="R9" i="1" s="1"/>
  <c r="N18" i="1"/>
  <c r="N4" i="1"/>
  <c r="J9" i="1"/>
  <c r="S9" i="1" s="1"/>
  <c r="I11" i="1"/>
  <c r="R11" i="1" s="1"/>
  <c r="J17" i="1"/>
  <c r="S17" i="1" s="1"/>
  <c r="O18" i="1"/>
  <c r="P18" i="1" s="1"/>
  <c r="I21" i="1"/>
  <c r="R21" i="1" s="1"/>
  <c r="H23" i="1"/>
  <c r="U23" i="1" s="1"/>
  <c r="H26" i="1"/>
  <c r="U26" i="1" s="1"/>
  <c r="T28" i="1"/>
  <c r="T29" i="1"/>
  <c r="H31" i="1"/>
  <c r="N32" i="1"/>
  <c r="H34" i="1"/>
  <c r="Q34" i="1" s="1"/>
  <c r="N9" i="1"/>
  <c r="N17" i="1"/>
  <c r="R19" i="1"/>
  <c r="I31" i="1"/>
  <c r="I34" i="1"/>
  <c r="R34" i="1" s="1"/>
  <c r="E7" i="3"/>
  <c r="Q5" i="1"/>
  <c r="H3" i="1"/>
  <c r="R5" i="1"/>
  <c r="H7" i="1"/>
  <c r="N11" i="1"/>
  <c r="I16" i="1"/>
  <c r="N21" i="1"/>
  <c r="J31" i="1"/>
  <c r="S31" i="1" s="1"/>
  <c r="J34" i="1"/>
  <c r="S34" i="1" s="1"/>
  <c r="F7" i="3"/>
  <c r="N23" i="1"/>
  <c r="N31" i="1"/>
  <c r="Q32" i="1"/>
  <c r="N34" i="1"/>
  <c r="H7" i="3"/>
  <c r="I7" i="3" s="1"/>
  <c r="J7" i="1"/>
  <c r="S7" i="1" s="1"/>
  <c r="H12" i="1"/>
  <c r="U12" i="1" s="1"/>
  <c r="N16" i="1"/>
  <c r="I20" i="1"/>
  <c r="R20" i="1" s="1"/>
  <c r="N24" i="1"/>
  <c r="I28" i="1"/>
  <c r="I29" i="1"/>
  <c r="O34" i="1"/>
  <c r="P34" i="1" s="1"/>
  <c r="T4" i="1"/>
  <c r="H6" i="1"/>
  <c r="N7" i="1"/>
  <c r="H10" i="1"/>
  <c r="U10" i="1" s="1"/>
  <c r="I12" i="1"/>
  <c r="R12" i="1" s="1"/>
  <c r="O16" i="1"/>
  <c r="P16" i="1" s="1"/>
  <c r="J20" i="1"/>
  <c r="S20" i="1" s="1"/>
  <c r="H24" i="1"/>
  <c r="Q24" i="1" s="1"/>
  <c r="J28" i="1"/>
  <c r="S28" i="1" s="1"/>
  <c r="J29" i="1"/>
  <c r="S29" i="1" s="1"/>
  <c r="N30" i="1"/>
  <c r="H33" i="1"/>
  <c r="Q33" i="1" s="1"/>
  <c r="I6" i="1"/>
  <c r="O7" i="1"/>
  <c r="P7" i="1" s="1"/>
  <c r="I10" i="1"/>
  <c r="R10" i="1" s="1"/>
  <c r="J12" i="1"/>
  <c r="S12" i="1" s="1"/>
  <c r="T17" i="1"/>
  <c r="H19" i="1"/>
  <c r="N20" i="1"/>
  <c r="I24" i="1"/>
  <c r="R24" i="1" s="1"/>
  <c r="R33" i="1"/>
  <c r="D15" i="4"/>
  <c r="D21" i="4"/>
  <c r="D16" i="4"/>
  <c r="D11" i="4"/>
  <c r="D17" i="4"/>
  <c r="D12" i="4"/>
  <c r="D18" i="4"/>
  <c r="D13" i="4"/>
  <c r="D19" i="4"/>
  <c r="D14" i="4"/>
  <c r="D20" i="4"/>
  <c r="N35" i="1"/>
  <c r="J35" i="1"/>
  <c r="S35" i="1" s="1"/>
  <c r="I35" i="1"/>
  <c r="R35" i="1" s="1"/>
  <c r="H35" i="1"/>
  <c r="U35" i="1" s="1"/>
  <c r="Q16" i="1"/>
  <c r="U16" i="1"/>
  <c r="Q27" i="1"/>
  <c r="U27" i="1"/>
  <c r="V14" i="1"/>
  <c r="R14" i="1"/>
  <c r="Q15" i="1"/>
  <c r="U15" i="1"/>
  <c r="U4" i="1"/>
  <c r="Q4" i="1"/>
  <c r="V26" i="1"/>
  <c r="R26" i="1"/>
  <c r="U17" i="1"/>
  <c r="Q17" i="1"/>
  <c r="U14" i="1"/>
  <c r="V25" i="1"/>
  <c r="R3" i="1"/>
  <c r="V12" i="1"/>
  <c r="T14" i="1"/>
  <c r="U25" i="1"/>
  <c r="V11" i="1"/>
  <c r="U24" i="1"/>
  <c r="V10" i="1"/>
  <c r="V22" i="1"/>
  <c r="V34" i="1"/>
  <c r="O3" i="1"/>
  <c r="P3" i="1" s="1"/>
  <c r="V9" i="1"/>
  <c r="R13" i="1"/>
  <c r="T23" i="1"/>
  <c r="Q26" i="1"/>
  <c r="U34" i="1"/>
  <c r="U9" i="1"/>
  <c r="Q13" i="1"/>
  <c r="V20" i="1"/>
  <c r="V32" i="1"/>
  <c r="Q12" i="1"/>
  <c r="N15" i="1"/>
  <c r="O26" i="1"/>
  <c r="P26" i="1" s="1"/>
  <c r="Q11" i="1"/>
  <c r="O13" i="1"/>
  <c r="P13" i="1" s="1"/>
  <c r="N14" i="1"/>
  <c r="J15" i="1"/>
  <c r="S15" i="1" s="1"/>
  <c r="Q23" i="1"/>
  <c r="O25" i="1"/>
  <c r="P25" i="1" s="1"/>
  <c r="N26" i="1"/>
  <c r="J27" i="1"/>
  <c r="S27" i="1" s="1"/>
  <c r="T15" i="1"/>
  <c r="V24" i="1"/>
  <c r="T25" i="1"/>
  <c r="T11" i="1"/>
  <c r="V21" i="1"/>
  <c r="V33" i="1"/>
  <c r="N3" i="1"/>
  <c r="V7" i="1"/>
  <c r="U21" i="1"/>
  <c r="R23" i="1"/>
  <c r="N27" i="1"/>
  <c r="Q10" i="1"/>
  <c r="O12" i="1"/>
  <c r="P12" i="1" s="1"/>
  <c r="N13" i="1"/>
  <c r="J14" i="1"/>
  <c r="S14" i="1" s="1"/>
  <c r="I15" i="1"/>
  <c r="Q22" i="1"/>
  <c r="O24" i="1"/>
  <c r="P24" i="1" s="1"/>
  <c r="N25" i="1"/>
  <c r="J26" i="1"/>
  <c r="S26" i="1" s="1"/>
  <c r="I27" i="1"/>
  <c r="T27" i="1"/>
  <c r="T26" i="1"/>
  <c r="T13" i="1"/>
  <c r="T12" i="1"/>
  <c r="T24" i="1"/>
  <c r="T35" i="1"/>
  <c r="O15" i="1"/>
  <c r="P15" i="1" s="1"/>
  <c r="O27" i="1"/>
  <c r="P27" i="1" s="1"/>
  <c r="O14" i="1"/>
  <c r="P14" i="1" s="1"/>
  <c r="D9" i="4"/>
  <c r="D10" i="4"/>
  <c r="D2" i="4"/>
  <c r="D3" i="4"/>
  <c r="D4" i="4"/>
  <c r="D5" i="4"/>
  <c r="D6" i="4"/>
  <c r="D7" i="4"/>
  <c r="D8" i="4"/>
  <c r="V6" i="1" l="1"/>
  <c r="R6" i="1"/>
  <c r="Q35" i="1"/>
  <c r="V29" i="1"/>
  <c r="R29" i="1"/>
  <c r="V31" i="1"/>
  <c r="R31" i="1"/>
  <c r="V28" i="1"/>
  <c r="R28" i="1"/>
  <c r="V18" i="1"/>
  <c r="R18" i="1"/>
  <c r="U33" i="1"/>
  <c r="V16" i="1"/>
  <c r="R16" i="1"/>
  <c r="U19" i="1"/>
  <c r="Q19" i="1"/>
  <c r="U7" i="1"/>
  <c r="Q7" i="1"/>
  <c r="U31" i="1"/>
  <c r="Q31" i="1"/>
  <c r="Q3" i="1"/>
  <c r="U3" i="1"/>
  <c r="V4" i="1"/>
  <c r="R4" i="1"/>
  <c r="U6" i="1"/>
  <c r="Q6" i="1"/>
  <c r="U18" i="1"/>
  <c r="Q18" i="1"/>
  <c r="V35" i="1"/>
  <c r="R15" i="1"/>
  <c r="V15" i="1"/>
  <c r="R27" i="1"/>
  <c r="V27" i="1"/>
</calcChain>
</file>

<file path=xl/comments1.xml><?xml version="1.0" encoding="utf-8"?>
<comments xmlns="http://schemas.openxmlformats.org/spreadsheetml/2006/main">
  <authors>
    <author>tc={007800CA-0036-4157-8A20-0015001C0013}</author>
    <author>tc={33208C55-5173-7A65-356D-F6565965246F}</author>
    <author>tc={0A423A6A-0F3D-A0F3-9F98-EB022E9EBDA3}</author>
    <author>tc={F0EB8FBB-3BB1-C285-9C2E-74A958C756ED}</author>
    <author>tc={CDBD353A-2E69-1463-C219-E63C00D44D91}</author>
    <author>tc={67127321-7F75-328E-FB72-9BB53DF499D1}</author>
    <author>tc={00AB5AD2-6321-BC41-8CD2-54FD253002A6}</author>
    <author>tc={CAE47020-022C-1731-0D7C-DAD00F3D75D1}</author>
  </authors>
  <commentList>
    <comment ref="A1" authorId="0" shapeId="0">
      <text>
        <r>
          <rPr>
            <sz val="9"/>
            <rFont val="Tahoma"/>
          </rPr>
          <t xml:space="preserve">spot drill: use drill diameter instead of target hole diameter
</t>
        </r>
      </text>
    </comment>
    <comment ref="G1" authorId="1" shapeId="0">
      <text>
        <r>
          <rPr>
            <b/>
            <sz val="9"/>
            <rFont val="Tahoma"/>
          </rPr>
          <t>cheese:</t>
        </r>
        <r>
          <rPr>
            <sz val="9"/>
            <rFont val="Tahoma"/>
          </rPr>
          <t xml:space="preserve">
use integer value for CNC machines
</t>
        </r>
      </text>
    </comment>
    <comment ref="K1" authorId="2" shapeId="0">
      <text>
        <r>
          <rPr>
            <b/>
            <sz val="9"/>
            <rFont val="Tahoma"/>
          </rPr>
          <t>cheese:</t>
        </r>
        <r>
          <rPr>
            <sz val="9"/>
            <rFont val="Tahoma"/>
          </rPr>
          <t xml:space="preserve">
IPR = Feed Per Revolution
</t>
        </r>
      </text>
    </comment>
    <comment ref="T1" authorId="3" shapeId="0">
      <text>
        <r>
          <rPr>
            <b/>
            <sz val="9"/>
            <rFont val="Tahoma"/>
          </rPr>
          <t>cheese:</t>
        </r>
        <r>
          <rPr>
            <sz val="9"/>
            <rFont val="Tahoma"/>
          </rPr>
          <t xml:space="preserve">
or [number of revolutions] * 60 / RPM
</t>
        </r>
      </text>
    </comment>
    <comment ref="F2" authorId="4" shapeId="0">
      <text>
        <r>
          <rPr>
            <b/>
            <sz val="9"/>
            <rFont val="Tahoma"/>
          </rPr>
          <t>cheese:</t>
        </r>
        <r>
          <rPr>
            <sz val="9"/>
            <rFont val="Tahoma"/>
          </rPr>
          <t xml:space="preserve">
SFM = SFPM
</t>
        </r>
      </text>
    </comment>
    <comment ref="J2" authorId="5" shapeId="0">
      <text>
        <r>
          <rPr>
            <b/>
            <sz val="9"/>
            <rFont val="Tahoma"/>
          </rPr>
          <t>cheese:</t>
        </r>
        <r>
          <rPr>
            <sz val="9"/>
            <rFont val="Tahoma"/>
          </rPr>
          <t xml:space="preserve">
1/4 to 1/3 of drilling RPM
</t>
        </r>
      </text>
    </comment>
    <comment ref="E5" authorId="6" shapeId="0">
      <text>
        <r>
          <rPr>
            <b/>
            <sz val="9"/>
            <rFont val="Tahoma"/>
          </rPr>
          <t>cheese:</t>
        </r>
        <r>
          <rPr>
            <sz val="9"/>
            <rFont val="Tahoma"/>
          </rPr>
          <t xml:space="preserve">
Mild steel, soft steel, machine steel, 1020 steel, low carbon steel, CRS (cold
rolled steel), have the same cutting speed.
</t>
        </r>
      </text>
    </comment>
    <comment ref="F7" authorId="7" shapeId="0">
      <text>
        <r>
          <rPr>
            <b/>
            <sz val="9"/>
            <rFont val="Tahoma"/>
          </rPr>
          <t>cheese:</t>
        </r>
        <r>
          <rPr>
            <sz val="9"/>
            <rFont val="Tahoma"/>
          </rPr>
          <t xml:space="preserve">
use 400 for machines
300 is in the book
</t>
        </r>
      </text>
    </comment>
  </commentList>
</comments>
</file>

<file path=xl/comments2.xml><?xml version="1.0" encoding="utf-8"?>
<comments xmlns="http://schemas.openxmlformats.org/spreadsheetml/2006/main">
  <authors>
    <author>tc={67B01714-BE36-1B83-71B3-766E5C3CEF95}</author>
    <author>tc={30F8A812-A00F-8319-EDA7-7848A9DE2B92}</author>
  </authors>
  <commentList>
    <comment ref="F1" authorId="0" shapeId="0">
      <text>
        <r>
          <rPr>
            <b/>
            <sz val="9"/>
            <rFont val="Tahoma"/>
          </rPr>
          <t>cheese:</t>
        </r>
        <r>
          <rPr>
            <sz val="9"/>
            <rFont val="Tahoma"/>
          </rPr>
          <t xml:space="preserve">
UNC/UNF Taps
</t>
        </r>
      </text>
    </comment>
    <comment ref="G1" authorId="1" shapeId="0">
      <text>
        <r>
          <rPr>
            <b/>
            <sz val="9"/>
            <rFont val="Tahoma"/>
          </rPr>
          <t>cheese:</t>
        </r>
        <r>
          <rPr>
            <sz val="9"/>
            <rFont val="Tahoma"/>
          </rPr>
          <t xml:space="preserve">
UNC/UNF Taps
</t>
        </r>
      </text>
    </comment>
  </commentList>
</comments>
</file>

<file path=xl/sharedStrings.xml><?xml version="1.0" encoding="utf-8"?>
<sst xmlns="http://schemas.openxmlformats.org/spreadsheetml/2006/main" count="357" uniqueCount="141">
  <si>
    <t>Diameter (in)</t>
  </si>
  <si>
    <t>Flute Quantity</t>
  </si>
  <si>
    <t>Chip Load (IPT)</t>
  </si>
  <si>
    <t>Threads per Inch</t>
  </si>
  <si>
    <t>RPM</t>
  </si>
  <si>
    <t>Feed (IPR)</t>
  </si>
  <si>
    <t>Feed (IPM)</t>
  </si>
  <si>
    <t>Dwell (min)</t>
  </si>
  <si>
    <t>Material</t>
  </si>
  <si>
    <t>Cutting Speed (SFM)</t>
  </si>
  <si>
    <t>Drill/Mill</t>
  </si>
  <si>
    <t>Countersink/Ream</t>
  </si>
  <si>
    <t>Counterbore/Form Cutting/Corner Radius/Chamfer/Bull Endmill</t>
  </si>
  <si>
    <t>Tap</t>
  </si>
  <si>
    <t>Drill</t>
  </si>
  <si>
    <t>Mill</t>
  </si>
  <si>
    <t>Mill - No Plunge</t>
  </si>
  <si>
    <t>Mill - Plunge</t>
  </si>
  <si>
    <t>Counterbore</t>
  </si>
  <si>
    <t>Tool Steel</t>
  </si>
  <si>
    <t>Cast Iron</t>
  </si>
  <si>
    <t>Mild Steel</t>
  </si>
  <si>
    <t>Brass, soft bronze</t>
  </si>
  <si>
    <t>Aluminum</t>
  </si>
  <si>
    <t>Al: Cast (2xx, 5xx, 7xx, 8xx)</t>
  </si>
  <si>
    <t>Al: Cast - 3%-5% Si (3xx, A3xx, C3xx, 4xx, A4xx, B4xx)</t>
  </si>
  <si>
    <t>Al: Cast - 5%-8% Si (3xx, A3xx, C3xx, 4xx, A4xx, B4xx)</t>
  </si>
  <si>
    <t>Al: Cast - 8%-12% Si (3xx, A3xx, C3xx, 4xx, A4xx, B4xx)</t>
  </si>
  <si>
    <t>Al: Cast - 12%-16% Si (3xx, A3xx, C3xx, 4xx, A4xx, B4xx)</t>
  </si>
  <si>
    <t>Al: Wrought (1xxx, 2xxx, 3xxx, 5xxx, 6xxx, 7xxx, 8xxx)</t>
  </si>
  <si>
    <t>Al: Wrought - 5%-8% Si (4xxx)</t>
  </si>
  <si>
    <t>Al: Wrought - 8%-12% Si (4xxx)</t>
  </si>
  <si>
    <t>Cu: High Coppers - 90%+ (C1xxxx)</t>
  </si>
  <si>
    <t>Cu: Brass (Copper Zinc alloys, C2xxxx, C3xxxx, C4xxxx, C66400-C69800)</t>
  </si>
  <si>
    <t>Cu: Phosphor Bronzes (Copper Tin alloys, C5xxxx)</t>
  </si>
  <si>
    <t>Cu: Aluminum Bronzes (Copper Aluminum alloys, C60600-C64200)</t>
  </si>
  <si>
    <t>Cu: Silicon Bronzes (Copper Silicon alloys, C64700-C66100)</t>
  </si>
  <si>
    <t>Cu: Copper Nickels, Nickel Silvers (Copper Nickel alloys, C7xxxx)</t>
  </si>
  <si>
    <t>Cu: Cast Copper Alloys (C83300-C86200, C86400-C87900, C92200-C95800, C97300-C97800, C99400-C99700)</t>
  </si>
  <si>
    <t>Mg Alloy</t>
  </si>
  <si>
    <t>Carbon Steel: Free-Machining/Low Carbon steels, 10xx - 1029 &amp; all 10Lxx, 11xx - 1139 &amp; all 11Lxx, 12xx - 1215 &amp; all 12Lxx</t>
  </si>
  <si>
    <t>Carbon Steel: 1030 - 1095, 1140 - 1151, 13xx, 15xx, 2xxx, 3xxx, 4xxx &amp; 4xLxx, 5xxx &amp; 5xLxx, 50xxx &amp; 50Lxxx, 51xxx &amp; 51Lxxx, 52xxx &amp; 52Lxxx, 6xxx, 8xxx, 9xxx</t>
  </si>
  <si>
    <t>Stainless Steel: 203 EZ, 303 (all types), 416, 416Se, 416 Plus X, 420F, 420FSe, 430F, 430FSe, 440F, 440</t>
  </si>
  <si>
    <t>Stainless Steel: 201, 202, 203, 205, 301, 302, 304, 304L, 308, 309, 310, 314, 316, 316L, 317, 321, 329, 330, 347, 348, 385, 403, 405, 409, 410, 413, 420, 429, 430, 434, 436, 442, 446, 501, 502</t>
  </si>
  <si>
    <t>Stainless Steel: 414, 431, 440A, 440B, 440C, 13-8, 15-5, 15-7, 17-4, 17-7</t>
  </si>
  <si>
    <t>Tool Steel: A, L, O, P, W series</t>
  </si>
  <si>
    <t>Tool Steel: D, H, M, T, S series</t>
  </si>
  <si>
    <t>Ti Alloys</t>
  </si>
  <si>
    <t>Zn Alloy</t>
  </si>
  <si>
    <t>High Temperature Alloys: Inconel, Hastelloy, Waspalloy, Monel, Nimonic, Haynes, Discoloy, Incoloy</t>
  </si>
  <si>
    <t>CUSTOM</t>
  </si>
  <si>
    <t>Al - Cast Alloy</t>
  </si>
  <si>
    <t>Al - Diecast Alloys</t>
  </si>
  <si>
    <t>Al - Wrought Alloys</t>
  </si>
  <si>
    <t>Brass</t>
  </si>
  <si>
    <t>Bronze</t>
  </si>
  <si>
    <t>Cu</t>
  </si>
  <si>
    <t>Gun Metal</t>
  </si>
  <si>
    <t>Cast Iron - Grey</t>
  </si>
  <si>
    <t>Cast Iron - Ductile</t>
  </si>
  <si>
    <t>Cast Iron - Alloys Malleable</t>
  </si>
  <si>
    <t>Alloy Mg Alloys</t>
  </si>
  <si>
    <t>Ni Alloys</t>
  </si>
  <si>
    <t>Nimonic Alloys</t>
  </si>
  <si>
    <t>Steel - Medium Carbon Tool</t>
  </si>
  <si>
    <t>Steels</t>
  </si>
  <si>
    <t>Cast Steel</t>
  </si>
  <si>
    <t>Stainless Steel - 300 Series</t>
  </si>
  <si>
    <t>Stainless Steel - 400</t>
  </si>
  <si>
    <t>Series Plastic</t>
  </si>
  <si>
    <t>Zn - Die Casting</t>
  </si>
  <si>
    <t>Milling Radial Depth of Cut (in)</t>
  </si>
  <si>
    <t>Finishing</t>
  </si>
  <si>
    <t>Light Roughing</t>
  </si>
  <si>
    <t>Heavy Roughing</t>
  </si>
  <si>
    <t>Milling Axial (Slotting) Depth of Cut (in)</t>
  </si>
  <si>
    <t>Shallow</t>
  </si>
  <si>
    <t>Medium</t>
  </si>
  <si>
    <t>Full</t>
  </si>
  <si>
    <t>Radial Depth of Cut (in)</t>
  </si>
  <si>
    <t>Axial Depth of Cut (in)</t>
  </si>
  <si>
    <t xml:space="preserve">Depth of Cut - Peripheral </t>
  </si>
  <si>
    <t xml:space="preserve">Depth of Cut - Slotting </t>
  </si>
  <si>
    <t>Slot Width (in)</t>
  </si>
  <si>
    <t>Radial Depth of Cut</t>
  </si>
  <si>
    <t>Max Cutter Diameter</t>
  </si>
  <si>
    <t>Axial Depth of Cut</t>
  </si>
  <si>
    <t>MATERIAL</t>
  </si>
  <si>
    <t>Hardness: ≤ 28 Rc  (≤ 271 HBn)</t>
  </si>
  <si>
    <t>SFM</t>
  </si>
  <si>
    <t>Chip Load (IPT) By Cutter Diameter</t>
  </si>
  <si>
    <t>Depth of Cut</t>
  </si>
  <si>
    <t>Radial</t>
  </si>
  <si>
    <t>Axial</t>
  </si>
  <si>
    <t>ALUMINUM ALLOYS</t>
  </si>
  <si>
    <t>Milling</t>
  </si>
  <si>
    <t>50%
of Dia</t>
  </si>
  <si>
    <t>.5x Dia</t>
  </si>
  <si>
    <t>Casting (2xx, 5xx, 7xx, 8xx)</t>
  </si>
  <si>
    <t>Chamfering</t>
  </si>
  <si>
    <t>2 passes</t>
  </si>
  <si>
    <t>Wrought (1xxx, 2xxx, 3xxx, 5xxx, 6xxx, 7xxx, 8xxx)</t>
  </si>
  <si>
    <t>Drilling</t>
  </si>
  <si>
    <t>Casting - 3%-5% Si (3xx, A3xx, C3xx, 4xx, A4xx, B4xx)</t>
  </si>
  <si>
    <t>Casting - 5%-8% Si (3xx, A3xx, C3xx, 4xx, A4xx, B4xx)</t>
  </si>
  <si>
    <t>Casting - 8%-12% Si (3xx, A3xx, C3xx,
4xx, A4xx, B4xx)</t>
  </si>
  <si>
    <t>Casting - 12%-16% Si (3xx, A3xx, C3xx, 4xx, A4xx, B4xx)</t>
  </si>
  <si>
    <t>Wrought - 5%-8% Si (4xxx)</t>
  </si>
  <si>
    <t>Wrought - 8%-12% Si (4xxx)</t>
  </si>
  <si>
    <t>MAGNESIUM ALLOYS</t>
  </si>
  <si>
    <t>ZINC ALLOYS</t>
  </si>
  <si>
    <t>COPPER ALLOYS</t>
  </si>
  <si>
    <r>
      <rPr>
        <sz val="11"/>
        <rFont val="Calibri"/>
      </rPr>
      <t>50%
of Dia</t>
    </r>
  </si>
  <si>
    <t>High Coppers - 90%+ (C1xxxx)</t>
  </si>
  <si>
    <t>Brass (Copper Zinc alloys, C2xxxx,
C3xxxx, C4xxxx, C66400-C69800)</t>
  </si>
  <si>
    <t>Phosphor Bronzes (Copper Tin alloys,
C5xxxx)</t>
  </si>
  <si>
    <t>Aluminum Bronzes (Copper Aluminum
alloys, C60600-C64200)</t>
  </si>
  <si>
    <t>Silicon Bronzes (Copper Silicon alloys, C64700-C66100)</t>
  </si>
  <si>
    <t>Copper Nickels, Nickel Silvers (Copper Nickel alloys, C7xxxx)</t>
  </si>
  <si>
    <t>Cast Copper Alloys (C83300-C86200,
C86400-C87900, C92200-C95800, C97300-C97800, C99400-C99700)</t>
  </si>
  <si>
    <t>Hardness: 29-37 Rc  (279-344 HBn)</t>
  </si>
  <si>
    <t>CARBON STEELS</t>
  </si>
  <si>
    <t>30%
of Dia</t>
  </si>
  <si>
    <t>.25x Dia</t>
  </si>
  <si>
    <t>Free-Machining/Low Carbon steels, 10xx - 1029 &amp; all 10Lxx, 11xx - 1139 &amp; all 11Lxx, 12xx - 1215 &amp; all 12Lxx</t>
  </si>
  <si>
    <t>3 passes</t>
  </si>
  <si>
    <t>-</t>
  </si>
  <si>
    <t>1030 - 1095, 1140 - 1151, 13xx, 15xx,
2xxx, 3xxx, 4xxx &amp; 4xLxx, 5xxx &amp; 5xLxx, 50xxx &amp; 50Lxxx, 51xxx &amp; 51Lxxx, 52xxx &amp; 52Lxxx, 6xxx, 8xxx, 9xxx</t>
  </si>
  <si>
    <t>STAINLESS STEELS</t>
  </si>
  <si>
    <r>
      <rPr>
        <sz val="11"/>
        <rFont val="Calibri"/>
      </rPr>
      <t>30%
of Dia</t>
    </r>
  </si>
  <si>
    <t>203 EZ, 303 (all types), 416, 416Se, 416 Plus X, 420F, 420FSe, 430F, 430FSe, 440F, 440FSe</t>
  </si>
  <si>
    <t>201, 202, 203, 205, 301, 302, 304, 304L,
308, 309, 310, 314, 316, 316L, 317, 321,
329, 330, 347, 348, 385, 403, 405, 409,
410, 413, 420, 429, 430, 434, 436, 442,
446, 501, 502</t>
  </si>
  <si>
    <t>414, 431, 440A, 440B, 440C,
13-8, 15-5, 15-7, 17-4, 17-7</t>
  </si>
  <si>
    <t>TOOL STEELS</t>
  </si>
  <si>
    <t>A, L, O, P, W series</t>
  </si>
  <si>
    <t>D, H, M, T, S series</t>
  </si>
  <si>
    <t>TITANIUM ALLOYS</t>
  </si>
  <si>
    <t>HIGH TEMP ALLOYS</t>
  </si>
  <si>
    <t>Inconel, Hastelloy, Waspalloy, Monel, Nimonic, Haynes, Discoloy, Incoloy</t>
  </si>
  <si>
    <t>Radial Depth of Cut (%)</t>
  </si>
  <si>
    <t>Axial Depth of Cut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</si>
</sst>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0000"/>
  </numFmts>
  <fonts count="17">
    <font>
      <sz val="11"/>
      <color theme="1"/>
      <name val="Calibri"/>
      <scheme val="minor"/>
    </font>
    <font>
      <b/>
      <sz val="11"/>
      <color theme="1"/>
      <name val="Calibri"/>
      <scheme val="minor"/>
    </font>
    <font>
      <b/>
      <sz val="11"/>
      <color rgb="FF00B050"/>
      <name val="Calibri"/>
      <scheme val="minor"/>
    </font>
    <font>
      <b/>
      <sz val="11"/>
      <color theme="5"/>
      <name val="Calibri"/>
      <scheme val="minor"/>
    </font>
    <font>
      <b/>
      <sz val="11"/>
      <color indexed="2"/>
      <name val="Calibri"/>
      <scheme val="minor"/>
    </font>
    <font>
      <sz val="11"/>
      <color rgb="FF00B050"/>
      <name val="Calibri"/>
      <scheme val="minor"/>
    </font>
    <font>
      <sz val="11"/>
      <color theme="5"/>
      <name val="Calibri"/>
      <scheme val="minor"/>
    </font>
    <font>
      <sz val="11"/>
      <color indexed="2"/>
      <name val="Calibri"/>
      <scheme val="minor"/>
    </font>
    <font>
      <sz val="11"/>
      <color theme="1"/>
      <name val="Calibri"/>
    </font>
    <font>
      <sz val="11"/>
      <name val="Calibri"/>
      <scheme val="minor"/>
    </font>
    <font>
      <b/>
      <sz val="11"/>
      <name val="Calibri"/>
      <scheme val="minor"/>
    </font>
    <font>
      <b/>
      <sz val="11"/>
      <name val="Calibri"/>
    </font>
    <font>
      <sz val="11"/>
      <name val="Calibri"/>
    </font>
    <font>
      <b/>
      <sz val="9"/>
      <name val="Tahoma"/>
    </font>
    <font>
      <sz val="9"/>
      <name val="Tahoma"/>
    </font>
    <font>
      <b/>
      <sz val="11"/>
      <color theme="1"/>
      <name val="Calibri"/>
      <family val="2"/>
      <scheme val="minor"/>
    </font>
    <font>
      <sz val="11"/>
      <color theme="1"/>
      <name val="Calibri"/>
      <scheme val="minor"/>
    </font>
  </fonts>
  <fills count="20">
    <fill>
      <patternFill patternType="none"/>
    </fill>
    <fill>
      <patternFill patternType="gray125"/>
    </fill>
    <fill>
      <patternFill patternType="solid">
        <fgColor theme="1"/>
        <bgColor theme="1"/>
      </patternFill>
    </fill>
    <fill>
      <patternFill patternType="solid">
        <fgColor theme="1"/>
        <bgColor theme="1"/>
      </patternFill>
    </fill>
    <fill>
      <patternFill patternType="solid">
        <fgColor indexed="5"/>
        <bgColor indexed="5"/>
      </patternFill>
    </fill>
    <fill>
      <patternFill patternType="solid">
        <fgColor theme="0" tint="-0.14999847407452621"/>
        <bgColor theme="0" tint="-0.14999847407452621"/>
      </patternFill>
    </fill>
    <fill>
      <patternFill patternType="solid">
        <fgColor theme="7" tint="0.79998168889431442"/>
        <bgColor theme="7" tint="0.79998168889431442"/>
      </patternFill>
    </fill>
    <fill>
      <patternFill patternType="solid">
        <fgColor rgb="FFD7E3BB"/>
      </patternFill>
    </fill>
    <fill>
      <patternFill patternType="solid">
        <fgColor indexed="43"/>
      </patternFill>
    </fill>
    <fill>
      <patternFill patternType="solid">
        <fgColor rgb="FFB7DEE8"/>
      </patternFill>
    </fill>
    <fill>
      <gradientFill degree="90">
        <stop position="0">
          <color theme="9" tint="0.59999389629810485"/>
        </stop>
        <stop position="0.5">
          <color theme="9" tint="0.80001220740379042"/>
        </stop>
        <stop position="1">
          <color theme="9" tint="0.59999389629810485"/>
        </stop>
      </gradientFill>
    </fill>
    <fill>
      <patternFill patternType="solid">
        <fgColor theme="7"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9" tint="0.79998168889431442"/>
        <bgColor theme="9" tint="0.59999389629810485"/>
      </patternFill>
    </fill>
    <fill>
      <gradientFill degree="90">
        <stop position="0">
          <color theme="7" tint="0.59999389629810485"/>
        </stop>
        <stop position="0.5">
          <color theme="7" tint="0.80001220740379042"/>
        </stop>
        <stop position="1">
          <color theme="7" tint="0.59999389629810485"/>
        </stop>
      </gradientFill>
    </fill>
    <fill>
      <gradientFill degree="90">
        <stop position="0">
          <color theme="4" tint="0.59999389629810485"/>
        </stop>
        <stop position="0.5">
          <color theme="4" tint="0.80001220740379042"/>
        </stop>
        <stop position="1">
          <color theme="4" tint="0.59999389629810485"/>
        </stop>
      </gradientFill>
    </fill>
    <fill>
      <patternFill patternType="solid">
        <fgColor theme="4" tint="0.79998168889431442"/>
        <bgColor indexed="64"/>
      </patternFill>
    </fill>
    <fill>
      <patternFill patternType="solid">
        <fgColor theme="4" tint="0.59999389629810485"/>
        <bgColor indexed="64"/>
      </patternFill>
    </fill>
  </fills>
  <borders count="16">
    <border>
      <left/>
      <right/>
      <top/>
      <bottom/>
      <diagonal/>
    </border>
    <border>
      <left style="thin">
        <color rgb="FFD4D4D4"/>
      </left>
      <right style="thin">
        <color rgb="FFD4D4D4"/>
      </right>
      <top style="thin">
        <color rgb="FFD4D4D4"/>
      </top>
      <bottom style="thin">
        <color rgb="FFD4D4D4"/>
      </bottom>
      <diagonal/>
    </border>
    <border>
      <left style="thin">
        <color rgb="FFD4D4D4"/>
      </left>
      <right style="thin">
        <color rgb="FFD4D4D4"/>
      </right>
      <top/>
      <bottom style="thin">
        <color rgb="FFD4D4D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2">
    <xf numFmtId="0" fontId="0" fillId="0" borderId="0"/>
    <xf numFmtId="9" fontId="16" fillId="0" borderId="0" applyFont="0" applyFill="0" applyBorder="0" applyAlignment="0" applyProtection="0"/>
  </cellStyleXfs>
  <cellXfs count="137">
    <xf numFmtId="0" fontId="0" fillId="0" borderId="0" xfId="0"/>
    <xf numFmtId="0" fontId="0" fillId="0" borderId="1" xfId="0" applyBorder="1" applyProtection="1">
      <protection locked="0"/>
    </xf>
    <xf numFmtId="0" fontId="0" fillId="0" borderId="1" xfId="0" applyBorder="1" applyAlignment="1" applyProtection="1">
      <alignment vertical="center" wrapText="1"/>
      <protection locked="0"/>
    </xf>
    <xf numFmtId="0" fontId="0" fillId="0" borderId="1" xfId="0" applyBorder="1" applyAlignment="1" applyProtection="1">
      <alignment vertical="center"/>
      <protection locked="0"/>
    </xf>
    <xf numFmtId="164" fontId="0" fillId="0" borderId="1" xfId="0" applyNumberFormat="1" applyBorder="1" applyAlignment="1" applyProtection="1">
      <alignment vertical="center"/>
      <protection locked="0"/>
    </xf>
    <xf numFmtId="0" fontId="1" fillId="0" borderId="1" xfId="0" applyFont="1" applyBorder="1" applyAlignment="1" applyProtection="1">
      <alignment vertical="center"/>
    </xf>
    <xf numFmtId="0" fontId="1" fillId="2" borderId="1" xfId="0" applyFont="1" applyFill="1" applyBorder="1" applyAlignment="1" applyProtection="1">
      <alignment vertical="center" wrapText="1"/>
    </xf>
    <xf numFmtId="0" fontId="0" fillId="4" borderId="1" xfId="0" applyFill="1" applyBorder="1" applyAlignment="1" applyProtection="1">
      <alignment vertical="center"/>
      <protection locked="0"/>
    </xf>
    <xf numFmtId="0" fontId="0" fillId="0" borderId="1" xfId="0" applyBorder="1" applyAlignment="1" applyProtection="1">
      <alignment vertical="center"/>
    </xf>
    <xf numFmtId="0" fontId="0" fillId="0" borderId="1" xfId="0" applyBorder="1" applyAlignment="1" applyProtection="1">
      <alignment vertical="center" wrapText="1"/>
    </xf>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2" xfId="0" applyFont="1" applyBorder="1" applyAlignment="1">
      <alignment horizontal="center" vertical="center"/>
    </xf>
    <xf numFmtId="0" fontId="1" fillId="0" borderId="0" xfId="0" applyFont="1" applyAlignment="1">
      <alignment vertical="center"/>
    </xf>
    <xf numFmtId="0" fontId="0" fillId="0" borderId="0" xfId="0" applyAlignment="1">
      <alignment vertical="center"/>
    </xf>
    <xf numFmtId="0" fontId="0" fillId="4" borderId="0" xfId="0" applyFill="1" applyAlignment="1" applyProtection="1">
      <alignment vertical="center"/>
      <protection locked="0"/>
    </xf>
    <xf numFmtId="0" fontId="0" fillId="0" borderId="0" xfId="0" applyAlignment="1">
      <alignment vertical="center" wrapText="1"/>
    </xf>
    <xf numFmtId="1" fontId="0" fillId="0" borderId="0" xfId="0" applyNumberFormat="1" applyAlignment="1">
      <alignment vertical="center"/>
    </xf>
    <xf numFmtId="164" fontId="0" fillId="0" borderId="0" xfId="0" applyNumberFormat="1" applyAlignment="1">
      <alignment vertical="center"/>
    </xf>
    <xf numFmtId="0" fontId="0" fillId="0" borderId="0" xfId="0" applyAlignment="1" applyProtection="1">
      <alignment vertical="center"/>
    </xf>
    <xf numFmtId="0" fontId="0" fillId="0" borderId="0" xfId="0" applyAlignment="1" applyProtection="1">
      <alignment vertical="center" wrapText="1"/>
    </xf>
    <xf numFmtId="164" fontId="0" fillId="0" borderId="0" xfId="0" applyNumberFormat="1" applyAlignment="1" applyProtection="1">
      <alignment vertical="center"/>
    </xf>
    <xf numFmtId="1" fontId="0" fillId="0" borderId="0" xfId="0" applyNumberFormat="1" applyAlignment="1" applyProtection="1">
      <alignment vertical="center"/>
      <protection locked="0"/>
    </xf>
    <xf numFmtId="164" fontId="0" fillId="0" borderId="0" xfId="0" applyNumberFormat="1" applyAlignment="1" applyProtection="1">
      <alignment vertical="center"/>
      <protection locked="0"/>
    </xf>
    <xf numFmtId="0" fontId="0" fillId="0" borderId="0" xfId="0" applyProtection="1">
      <protection locked="0"/>
    </xf>
    <xf numFmtId="0" fontId="0" fillId="0" borderId="0" xfId="0"/>
    <xf numFmtId="0" fontId="0" fillId="2" borderId="0" xfId="0" applyFill="1"/>
    <xf numFmtId="0" fontId="1" fillId="0" borderId="0" xfId="0" applyFont="1" applyAlignment="1">
      <alignment horizontal="center"/>
    </xf>
    <xf numFmtId="0" fontId="0" fillId="4" borderId="0" xfId="0" applyFill="1" applyProtection="1">
      <protection locked="0"/>
    </xf>
    <xf numFmtId="0" fontId="5" fillId="0" borderId="0" xfId="0" applyFont="1"/>
    <xf numFmtId="0" fontId="6" fillId="0" borderId="0" xfId="0" applyFont="1"/>
    <xf numFmtId="0" fontId="7" fillId="0" borderId="0" xfId="0" applyFont="1"/>
    <xf numFmtId="0" fontId="0" fillId="0" borderId="0" xfId="0" applyProtection="1"/>
    <xf numFmtId="0" fontId="1" fillId="0" borderId="0" xfId="0" applyFont="1" applyAlignment="1" applyProtection="1">
      <alignment horizontal="center"/>
    </xf>
    <xf numFmtId="0" fontId="8" fillId="0" borderId="0" xfId="0" applyFont="1" applyProtection="1"/>
    <xf numFmtId="0" fontId="9" fillId="0" borderId="0" xfId="0" applyFont="1" applyProtection="1">
      <protection locked="0"/>
    </xf>
    <xf numFmtId="0" fontId="1" fillId="0" borderId="0" xfId="0" applyFont="1"/>
    <xf numFmtId="0" fontId="9" fillId="0" borderId="0" xfId="0" applyFont="1"/>
    <xf numFmtId="0" fontId="8" fillId="0" borderId="0" xfId="0" applyFont="1"/>
    <xf numFmtId="164" fontId="11" fillId="8" borderId="9" xfId="0" applyNumberFormat="1" applyFont="1" applyFill="1" applyBorder="1" applyAlignment="1">
      <alignment horizontal="center" vertical="center" shrinkToFit="1"/>
    </xf>
    <xf numFmtId="0" fontId="11" fillId="8" borderId="9" xfId="0" applyFont="1" applyFill="1" applyBorder="1" applyAlignment="1">
      <alignment horizontal="center" vertical="center" wrapText="1"/>
    </xf>
    <xf numFmtId="0" fontId="11" fillId="0" borderId="3" xfId="0" applyFont="1" applyBorder="1" applyAlignment="1">
      <alignment horizontal="center" vertical="center" wrapText="1"/>
    </xf>
    <xf numFmtId="0" fontId="12" fillId="0" borderId="9" xfId="0" applyFont="1" applyBorder="1" applyAlignment="1">
      <alignment horizontal="center" vertical="center" wrapText="1"/>
    </xf>
    <xf numFmtId="165" fontId="12" fillId="0" borderId="9" xfId="0" applyNumberFormat="1" applyFont="1" applyBorder="1" applyAlignment="1">
      <alignment horizontal="center" vertical="center" shrinkToFit="1"/>
    </xf>
    <xf numFmtId="0" fontId="12" fillId="0" borderId="8" xfId="0" applyFont="1" applyBorder="1" applyAlignment="1">
      <alignment horizontal="center" vertical="center" wrapText="1"/>
    </xf>
    <xf numFmtId="1" fontId="12" fillId="0" borderId="9" xfId="0" applyNumberFormat="1" applyFont="1" applyBorder="1" applyAlignment="1">
      <alignment horizontal="center" vertical="center" shrinkToFit="1"/>
    </xf>
    <xf numFmtId="164" fontId="11" fillId="9" borderId="9" xfId="0" applyNumberFormat="1" applyFont="1" applyFill="1" applyBorder="1" applyAlignment="1">
      <alignment horizontal="center" vertical="center" shrinkToFit="1"/>
    </xf>
    <xf numFmtId="0" fontId="11" fillId="9" borderId="9" xfId="0" applyFont="1" applyFill="1" applyBorder="1" applyAlignment="1">
      <alignment horizontal="center" vertical="center" wrapText="1"/>
    </xf>
    <xf numFmtId="0" fontId="1" fillId="0" borderId="1" xfId="0" applyFont="1" applyBorder="1" applyAlignment="1" applyProtection="1">
      <alignment horizontal="center" vertical="center"/>
    </xf>
    <xf numFmtId="0" fontId="0" fillId="11" borderId="1" xfId="0" applyFill="1" applyBorder="1" applyAlignment="1" applyProtection="1">
      <alignment vertical="center"/>
    </xf>
    <xf numFmtId="1" fontId="0" fillId="11" borderId="1" xfId="0" applyNumberFormat="1" applyFill="1" applyBorder="1" applyAlignment="1" applyProtection="1">
      <alignment vertical="center"/>
    </xf>
    <xf numFmtId="0" fontId="0" fillId="13" borderId="1" xfId="0" applyFill="1" applyBorder="1" applyAlignment="1" applyProtection="1">
      <alignment vertical="center"/>
    </xf>
    <xf numFmtId="1" fontId="0" fillId="13" borderId="1" xfId="0" applyNumberFormat="1" applyFill="1" applyBorder="1" applyAlignment="1" applyProtection="1">
      <alignment vertical="center"/>
    </xf>
    <xf numFmtId="164" fontId="0" fillId="12" borderId="1" xfId="0" applyNumberFormat="1" applyFill="1" applyBorder="1" applyAlignment="1" applyProtection="1">
      <alignment vertical="center"/>
    </xf>
    <xf numFmtId="164" fontId="0" fillId="14" borderId="1" xfId="0" applyNumberFormat="1" applyFill="1" applyBorder="1" applyAlignment="1" applyProtection="1">
      <alignment vertical="center"/>
    </xf>
    <xf numFmtId="164" fontId="0" fillId="18" borderId="1" xfId="0" applyNumberFormat="1" applyFill="1" applyBorder="1" applyAlignment="1" applyProtection="1">
      <alignment vertical="center"/>
    </xf>
    <xf numFmtId="0" fontId="1" fillId="0" borderId="1" xfId="0" applyFont="1" applyBorder="1" applyAlignment="1" applyProtection="1">
      <alignment horizontal="center" vertical="center" wrapText="1"/>
    </xf>
    <xf numFmtId="0" fontId="0" fillId="3" borderId="1" xfId="0" applyFill="1" applyBorder="1" applyAlignment="1" applyProtection="1">
      <alignment vertical="center"/>
    </xf>
    <xf numFmtId="0" fontId="1" fillId="5" borderId="1" xfId="0" applyFont="1" applyFill="1" applyBorder="1" applyAlignment="1" applyProtection="1">
      <alignment horizontal="center" vertical="center" wrapText="1"/>
    </xf>
    <xf numFmtId="0" fontId="1" fillId="13" borderId="1" xfId="0" applyFont="1" applyFill="1" applyBorder="1" applyAlignment="1" applyProtection="1">
      <alignment horizontal="center" vertical="center"/>
    </xf>
    <xf numFmtId="0" fontId="1" fillId="11" borderId="1" xfId="0" applyFont="1" applyFill="1" applyBorder="1" applyAlignment="1" applyProtection="1">
      <alignment horizontal="center" vertical="center"/>
    </xf>
    <xf numFmtId="0" fontId="1" fillId="13" borderId="1" xfId="0" applyFont="1" applyFill="1" applyBorder="1" applyAlignment="1" applyProtection="1">
      <alignment horizontal="center" vertical="center" wrapText="1"/>
    </xf>
    <xf numFmtId="0" fontId="1" fillId="6" borderId="1" xfId="0" applyFont="1" applyFill="1" applyBorder="1" applyAlignment="1" applyProtection="1">
      <alignment horizontal="center" vertical="center" wrapText="1"/>
    </xf>
    <xf numFmtId="164" fontId="1" fillId="14" borderId="1" xfId="0" applyNumberFormat="1" applyFont="1" applyFill="1" applyBorder="1" applyAlignment="1" applyProtection="1">
      <alignment horizontal="center" vertical="center"/>
    </xf>
    <xf numFmtId="164" fontId="1" fillId="12" borderId="1" xfId="0" applyNumberFormat="1" applyFont="1" applyFill="1" applyBorder="1" applyAlignment="1" applyProtection="1">
      <alignment horizontal="center" vertical="center"/>
    </xf>
    <xf numFmtId="0" fontId="1" fillId="12" borderId="1" xfId="0" applyFont="1" applyFill="1" applyBorder="1" applyAlignment="1" applyProtection="1">
      <alignment horizontal="center" vertical="center"/>
    </xf>
    <xf numFmtId="0" fontId="1" fillId="14" borderId="1" xfId="0" applyFont="1" applyFill="1" applyBorder="1" applyAlignment="1" applyProtection="1">
      <alignment horizontal="center" vertical="center" wrapText="1"/>
    </xf>
    <xf numFmtId="164" fontId="1" fillId="15" borderId="1" xfId="0" applyNumberFormat="1" applyFont="1" applyFill="1" applyBorder="1" applyAlignment="1" applyProtection="1">
      <alignment horizontal="center" vertical="center"/>
    </xf>
    <xf numFmtId="0" fontId="1" fillId="19" borderId="1" xfId="0" applyFont="1" applyFill="1" applyBorder="1" applyAlignment="1" applyProtection="1">
      <alignment horizontal="center" vertical="center"/>
    </xf>
    <xf numFmtId="0" fontId="1" fillId="18" borderId="1" xfId="0" applyFont="1" applyFill="1" applyBorder="1" applyAlignment="1" applyProtection="1">
      <alignment horizontal="center" vertical="center"/>
    </xf>
    <xf numFmtId="0" fontId="0" fillId="5" borderId="1" xfId="0" applyFill="1" applyBorder="1" applyAlignment="1" applyProtection="1">
      <alignment vertical="center"/>
    </xf>
    <xf numFmtId="1" fontId="0" fillId="6" borderId="1" xfId="0" applyNumberFormat="1" applyFill="1" applyBorder="1" applyAlignment="1" applyProtection="1">
      <alignment vertical="center"/>
    </xf>
    <xf numFmtId="164" fontId="0" fillId="0" borderId="1" xfId="0" applyNumberFormat="1" applyBorder="1" applyAlignment="1" applyProtection="1">
      <alignment vertical="center"/>
    </xf>
    <xf numFmtId="164" fontId="0" fillId="15" borderId="1" xfId="0" applyNumberFormat="1" applyFill="1" applyBorder="1" applyAlignment="1" applyProtection="1">
      <alignment vertical="center"/>
    </xf>
    <xf numFmtId="164" fontId="0" fillId="19" borderId="1" xfId="0" applyNumberFormat="1" applyFill="1" applyBorder="1" applyAlignment="1" applyProtection="1">
      <alignment vertical="center"/>
    </xf>
    <xf numFmtId="0" fontId="0" fillId="5" borderId="1" xfId="0" applyFill="1" applyBorder="1" applyAlignment="1" applyProtection="1">
      <alignment vertical="center"/>
      <protection locked="0"/>
    </xf>
    <xf numFmtId="1" fontId="0" fillId="13" borderId="1" xfId="0" applyNumberFormat="1" applyFill="1" applyBorder="1" applyAlignment="1" applyProtection="1">
      <alignment vertical="center"/>
      <protection locked="0"/>
    </xf>
    <xf numFmtId="1" fontId="0" fillId="11" borderId="1" xfId="0" applyNumberFormat="1" applyFill="1" applyBorder="1" applyAlignment="1" applyProtection="1">
      <alignment vertical="center"/>
      <protection locked="0"/>
    </xf>
    <xf numFmtId="1" fontId="0" fillId="6" borderId="1" xfId="0" applyNumberFormat="1" applyFill="1" applyBorder="1" applyAlignment="1" applyProtection="1">
      <alignment vertical="center"/>
      <protection locked="0"/>
    </xf>
    <xf numFmtId="164" fontId="0" fillId="14" borderId="1" xfId="0" applyNumberFormat="1" applyFill="1" applyBorder="1" applyAlignment="1" applyProtection="1">
      <alignment vertical="center"/>
      <protection locked="0"/>
    </xf>
    <xf numFmtId="164" fontId="0" fillId="12" borderId="1" xfId="0" applyNumberFormat="1" applyFill="1" applyBorder="1" applyAlignment="1" applyProtection="1">
      <alignment vertical="center"/>
      <protection locked="0"/>
    </xf>
    <xf numFmtId="164" fontId="0" fillId="15" borderId="1" xfId="0" applyNumberFormat="1" applyFill="1" applyBorder="1" applyAlignment="1" applyProtection="1">
      <alignment vertical="center"/>
      <protection locked="0"/>
    </xf>
    <xf numFmtId="164" fontId="0" fillId="19" borderId="1" xfId="0" applyNumberFormat="1" applyFill="1" applyBorder="1" applyAlignment="1" applyProtection="1">
      <alignment vertical="center"/>
      <protection locked="0"/>
    </xf>
    <xf numFmtId="164" fontId="0" fillId="18" borderId="1" xfId="0" applyNumberFormat="1" applyFill="1" applyBorder="1" applyAlignment="1" applyProtection="1">
      <alignment vertical="center"/>
      <protection locked="0"/>
    </xf>
    <xf numFmtId="0" fontId="1" fillId="16" borderId="1" xfId="0" applyFont="1" applyFill="1" applyBorder="1" applyAlignment="1" applyProtection="1">
      <alignment horizontal="center" vertical="center"/>
    </xf>
    <xf numFmtId="0" fontId="15" fillId="0" borderId="1" xfId="0" applyFont="1" applyBorder="1" applyAlignment="1" applyProtection="1">
      <alignment horizontal="center" vertical="center"/>
    </xf>
    <xf numFmtId="0" fontId="1" fillId="0" borderId="1" xfId="0" applyFont="1" applyBorder="1" applyAlignment="1" applyProtection="1">
      <alignment horizontal="center" vertical="center"/>
    </xf>
    <xf numFmtId="164" fontId="1" fillId="10" borderId="1" xfId="0" applyNumberFormat="1" applyFont="1" applyFill="1" applyBorder="1" applyAlignment="1" applyProtection="1">
      <alignment horizontal="center" vertical="center"/>
    </xf>
    <xf numFmtId="0" fontId="1" fillId="17" borderId="1" xfId="0" applyFont="1" applyFill="1" applyBorder="1" applyAlignment="1" applyProtection="1">
      <alignment horizontal="center" vertical="center"/>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1" fillId="0" borderId="0" xfId="0" applyFont="1" applyAlignment="1">
      <alignment horizontal="center"/>
    </xf>
    <xf numFmtId="0" fontId="10" fillId="0" borderId="0" xfId="0" applyFont="1" applyAlignment="1">
      <alignment horizontal="center"/>
    </xf>
    <xf numFmtId="0" fontId="12" fillId="0" borderId="3"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7" xfId="0" applyFont="1" applyBorder="1" applyAlignment="1">
      <alignment horizontal="center" vertical="center" wrapText="1"/>
    </xf>
    <xf numFmtId="1" fontId="12" fillId="0" borderId="3" xfId="0" applyNumberFormat="1" applyFont="1" applyBorder="1" applyAlignment="1">
      <alignment horizontal="center" vertical="center" shrinkToFit="1"/>
    </xf>
    <xf numFmtId="1" fontId="12" fillId="0" borderId="7" xfId="0" applyNumberFormat="1" applyFont="1" applyBorder="1" applyAlignment="1">
      <alignment horizontal="center" vertical="center" shrinkToFit="1"/>
    </xf>
    <xf numFmtId="1" fontId="12" fillId="0" borderId="8" xfId="0" applyNumberFormat="1" applyFont="1" applyBorder="1" applyAlignment="1">
      <alignment horizontal="center" vertical="center" shrinkToFit="1"/>
    </xf>
    <xf numFmtId="0" fontId="12" fillId="0" borderId="4" xfId="0" applyFont="1" applyBorder="1" applyAlignment="1">
      <alignment horizontal="center" vertical="center" wrapText="1"/>
    </xf>
    <xf numFmtId="0" fontId="12" fillId="0" borderId="6"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165" fontId="12" fillId="0" borderId="3" xfId="0" applyNumberFormat="1" applyFont="1" applyBorder="1" applyAlignment="1">
      <alignment horizontal="center" vertical="center" shrinkToFit="1"/>
    </xf>
    <xf numFmtId="165" fontId="12" fillId="0" borderId="8" xfId="0" applyNumberFormat="1" applyFont="1" applyBorder="1" applyAlignment="1">
      <alignment horizontal="center" vertical="center" shrinkToFit="1"/>
    </xf>
    <xf numFmtId="0" fontId="12" fillId="0" borderId="5" xfId="0" applyFont="1" applyBorder="1" applyAlignment="1">
      <alignment horizontal="center" vertical="center" wrapText="1"/>
    </xf>
    <xf numFmtId="0" fontId="11" fillId="7" borderId="3" xfId="0" applyFont="1" applyFill="1" applyBorder="1" applyAlignment="1">
      <alignment horizontal="center" vertical="center" wrapText="1"/>
    </xf>
    <xf numFmtId="0" fontId="11" fillId="7" borderId="7" xfId="0" applyFont="1" applyFill="1" applyBorder="1" applyAlignment="1">
      <alignment horizontal="center" vertical="center" wrapText="1"/>
    </xf>
    <xf numFmtId="0" fontId="11" fillId="7" borderId="8" xfId="0" applyFont="1" applyFill="1" applyBorder="1" applyAlignment="1">
      <alignment horizontal="center" vertical="center" wrapText="1"/>
    </xf>
    <xf numFmtId="0" fontId="11" fillId="9" borderId="4" xfId="0" applyFont="1" applyFill="1" applyBorder="1" applyAlignment="1">
      <alignment horizontal="center" vertical="center" wrapText="1"/>
    </xf>
    <xf numFmtId="0" fontId="11" fillId="9" borderId="5" xfId="0" applyFont="1" applyFill="1" applyBorder="1" applyAlignment="1">
      <alignment horizontal="center" vertical="center" wrapText="1"/>
    </xf>
    <xf numFmtId="0" fontId="11" fillId="9" borderId="6" xfId="0" applyFont="1" applyFill="1" applyBorder="1" applyAlignment="1">
      <alignment horizontal="center" vertical="center" wrapText="1"/>
    </xf>
    <xf numFmtId="0" fontId="11" fillId="9" borderId="3" xfId="0" applyFont="1" applyFill="1" applyBorder="1" applyAlignment="1">
      <alignment horizontal="center" vertical="center" wrapText="1"/>
    </xf>
    <xf numFmtId="0" fontId="11" fillId="9" borderId="8" xfId="0" applyFont="1" applyFill="1" applyBorder="1" applyAlignment="1">
      <alignment horizontal="center" vertical="center" wrapText="1"/>
    </xf>
    <xf numFmtId="164" fontId="11" fillId="9" borderId="4" xfId="0" applyNumberFormat="1" applyFont="1" applyFill="1" applyBorder="1" applyAlignment="1">
      <alignment horizontal="center" vertical="center" shrinkToFit="1"/>
    </xf>
    <xf numFmtId="164" fontId="11" fillId="9" borderId="6" xfId="0" applyNumberFormat="1" applyFont="1" applyFill="1" applyBorder="1" applyAlignment="1">
      <alignment horizontal="center" vertical="center" shrinkToFit="1"/>
    </xf>
    <xf numFmtId="165" fontId="12" fillId="0" borderId="7" xfId="0" applyNumberFormat="1" applyFont="1" applyBorder="1" applyAlignment="1">
      <alignment horizontal="center" vertical="center" shrinkToFi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1" fillId="8" borderId="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6" xfId="0" applyFont="1" applyFill="1" applyBorder="1" applyAlignment="1">
      <alignment horizontal="center" vertical="center" wrapText="1"/>
    </xf>
    <xf numFmtId="0" fontId="11" fillId="8" borderId="3" xfId="0" applyFont="1" applyFill="1" applyBorder="1" applyAlignment="1">
      <alignment horizontal="center" vertical="center" wrapText="1"/>
    </xf>
    <xf numFmtId="0" fontId="11" fillId="8" borderId="8" xfId="0" applyFont="1" applyFill="1" applyBorder="1" applyAlignment="1">
      <alignment horizontal="center" vertical="center" wrapText="1"/>
    </xf>
    <xf numFmtId="164" fontId="11" fillId="8" borderId="4" xfId="0" applyNumberFormat="1" applyFont="1" applyFill="1" applyBorder="1" applyAlignment="1">
      <alignment horizontal="center" vertical="center" shrinkToFit="1"/>
    </xf>
    <xf numFmtId="164" fontId="11" fillId="8" borderId="6" xfId="0" applyNumberFormat="1" applyFont="1" applyFill="1" applyBorder="1" applyAlignment="1">
      <alignment horizontal="center" vertical="center" shrinkToFit="1"/>
    </xf>
    <xf numFmtId="0" fontId="1" fillId="0" borderId="0" xfId="0" applyFont="1" applyAlignment="1" applyProtection="1">
      <alignment horizontal="center" vertical="center"/>
    </xf>
    <xf numFmtId="9" fontId="0" fillId="0" borderId="0" xfId="1" applyFont="1" applyProtection="1"/>
    <xf numFmtId="10" fontId="8" fillId="0" borderId="0" xfId="1" applyNumberFormat="1" applyFont="1" applyProtection="1"/>
  </cellXfs>
  <cellStyles count="2">
    <cellStyle name="Normal" xfId="0" builtinId="0"/>
    <cellStyle name="Percent" xfId="1" builtinId="5"/>
  </cellStyles>
  <dxfs count="7">
    <dxf>
      <fill>
        <patternFill patternType="solid">
          <fgColor rgb="FFD0CECE"/>
          <bgColor rgb="FFD0CECE"/>
        </patternFill>
      </fill>
    </dxf>
    <dxf>
      <fill>
        <patternFill patternType="solid">
          <fgColor rgb="FFBCD6EE"/>
          <bgColor rgb="FFBCD6EE"/>
        </patternFill>
      </fill>
    </dxf>
    <dxf>
      <fill>
        <patternFill patternType="solid">
          <fgColor rgb="FFDEEBF6"/>
          <bgColor rgb="FFDEEBF6"/>
        </patternFill>
      </fill>
    </dxf>
    <dxf>
      <fill>
        <patternFill patternType="solid">
          <fgColor rgb="FFC5E0B2"/>
          <bgColor rgb="FFC5E0B2"/>
        </patternFill>
      </fill>
    </dxf>
    <dxf>
      <fill>
        <patternFill patternType="solid">
          <fgColor rgb="FFE2EFD9"/>
          <bgColor rgb="FFE2EFD9"/>
        </patternFill>
      </fill>
    </dxf>
    <dxf>
      <fill>
        <patternFill patternType="solid">
          <fgColor rgb="FFFFE597"/>
          <bgColor rgb="FFFFE597"/>
        </patternFill>
      </fill>
    </dxf>
    <dxf>
      <fill>
        <patternFill patternType="solid">
          <fgColor rgb="FFFFF2CB"/>
          <bgColor rgb="FFFFF2C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Sampled</c:v>
          </c:tx>
          <c:spPr bwMode="auto">
            <a:ln w="25400" cap="rnd">
              <a:noFill/>
              <a:round/>
            </a:ln>
            <a:effectLst/>
          </c:spPr>
          <c:marker>
            <c:symbol val="circle"/>
            <c:size val="5"/>
            <c:spPr bwMode="auto">
              <a:solidFill>
                <a:schemeClr val="accent1"/>
              </a:solidFill>
              <a:ln w="9525">
                <a:solidFill>
                  <a:schemeClr val="accent1"/>
                </a:solidFill>
              </a:ln>
              <a:effectLst/>
            </c:spPr>
          </c:marker>
          <c:trendline>
            <c:spPr bwMode="auto">
              <a:ln w="19050" cap="rnd">
                <a:solidFill>
                  <a:schemeClr val="accent1"/>
                </a:solidFill>
                <a:prstDash val="sysDot"/>
              </a:ln>
              <a:effectLst/>
            </c:spPr>
            <c:trendlineType val="exp"/>
            <c:dispRSqr val="0"/>
            <c:dispEq val="1"/>
            <c:trendlineLbl>
              <c:layout>
                <c:manualLayout>
                  <c:x val="6.4533000000000104E-2"/>
                  <c:y val="-0.680481"/>
                </c:manualLayout>
              </c:layout>
              <c:numFmt formatCode="General" sourceLinked="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trendlineLbl>
          </c:trendline>
          <c:xVal>
            <c:numRef>
              <c:f>'Axial vs. Radial - Peripheral'!$B$2:$B$21</c:f>
              <c:numCache>
                <c:formatCode>General</c:formatCode>
                <c:ptCount val="20"/>
                <c:pt idx="0">
                  <c:v>2.5000000000000001E-2</c:v>
                </c:pt>
                <c:pt idx="1">
                  <c:v>0.05</c:v>
                </c:pt>
                <c:pt idx="2">
                  <c:v>7.4999999999999997E-2</c:v>
                </c:pt>
                <c:pt idx="3">
                  <c:v>0.1</c:v>
                </c:pt>
                <c:pt idx="4">
                  <c:v>0.125</c:v>
                </c:pt>
                <c:pt idx="5">
                  <c:v>0.15</c:v>
                </c:pt>
                <c:pt idx="6">
                  <c:v>0.17499999999999999</c:v>
                </c:pt>
                <c:pt idx="7">
                  <c:v>0.2</c:v>
                </c:pt>
                <c:pt idx="8">
                  <c:v>0.22500000000000001</c:v>
                </c:pt>
                <c:pt idx="9">
                  <c:v>0.25</c:v>
                </c:pt>
                <c:pt idx="10">
                  <c:v>0.27500000000000002</c:v>
                </c:pt>
                <c:pt idx="11">
                  <c:v>0.3</c:v>
                </c:pt>
                <c:pt idx="12">
                  <c:v>0.32500000000000001</c:v>
                </c:pt>
                <c:pt idx="13">
                  <c:v>0.35</c:v>
                </c:pt>
                <c:pt idx="14">
                  <c:v>0.375</c:v>
                </c:pt>
                <c:pt idx="15">
                  <c:v>0.4</c:v>
                </c:pt>
                <c:pt idx="16">
                  <c:v>0.42499999999999999</c:v>
                </c:pt>
                <c:pt idx="17">
                  <c:v>0.45</c:v>
                </c:pt>
                <c:pt idx="18">
                  <c:v>0.47499999999999998</c:v>
                </c:pt>
                <c:pt idx="19">
                  <c:v>0.5</c:v>
                </c:pt>
              </c:numCache>
            </c:numRef>
          </c:xVal>
          <c:yVal>
            <c:numRef>
              <c:f>'Axial vs. Radial - Peripheral'!$C$2:$C$21</c:f>
              <c:numCache>
                <c:formatCode>General</c:formatCode>
                <c:ptCount val="20"/>
                <c:pt idx="0">
                  <c:v>0.95</c:v>
                </c:pt>
                <c:pt idx="1">
                  <c:v>0.75</c:v>
                </c:pt>
                <c:pt idx="3">
                  <c:v>0.5</c:v>
                </c:pt>
                <c:pt idx="5">
                  <c:v>0.3</c:v>
                </c:pt>
                <c:pt idx="7">
                  <c:v>0.16666666666666666</c:v>
                </c:pt>
                <c:pt idx="9">
                  <c:v>7.1428571428571425E-2</c:v>
                </c:pt>
              </c:numCache>
            </c:numRef>
          </c:yVal>
          <c:smooth val="0"/>
          <c:extLst>
            <c:ext xmlns:c16="http://schemas.microsoft.com/office/drawing/2014/chart" uri="{C3380CC4-5D6E-409C-BE32-E72D297353CC}">
              <c16:uniqueId val="{00000000-1D8F-473A-8210-E5FB508611EE}"/>
            </c:ext>
          </c:extLst>
        </c:ser>
        <c:ser>
          <c:idx val="1"/>
          <c:order val="1"/>
          <c:tx>
            <c:v>Interpolated</c:v>
          </c:tx>
          <c:spPr bwMode="auto">
            <a:ln w="25400" cap="rnd">
              <a:noFill/>
              <a:round/>
            </a:ln>
            <a:effectLst/>
          </c:spPr>
          <c:marker>
            <c:symbol val="circle"/>
            <c:size val="5"/>
            <c:spPr bwMode="auto">
              <a:solidFill>
                <a:schemeClr val="accent2"/>
              </a:solidFill>
              <a:ln w="9525">
                <a:solidFill>
                  <a:schemeClr val="accent2"/>
                </a:solidFill>
              </a:ln>
              <a:effectLst/>
            </c:spPr>
          </c:marker>
          <c:xVal>
            <c:numRef>
              <c:f>'Axial vs. Radial - Peripheral'!$B$2:$B$21</c:f>
              <c:numCache>
                <c:formatCode>General</c:formatCode>
                <c:ptCount val="20"/>
                <c:pt idx="0">
                  <c:v>2.5000000000000001E-2</c:v>
                </c:pt>
                <c:pt idx="1">
                  <c:v>0.05</c:v>
                </c:pt>
                <c:pt idx="2">
                  <c:v>7.4999999999999997E-2</c:v>
                </c:pt>
                <c:pt idx="3">
                  <c:v>0.1</c:v>
                </c:pt>
                <c:pt idx="4">
                  <c:v>0.125</c:v>
                </c:pt>
                <c:pt idx="5">
                  <c:v>0.15</c:v>
                </c:pt>
                <c:pt idx="6">
                  <c:v>0.17499999999999999</c:v>
                </c:pt>
                <c:pt idx="7">
                  <c:v>0.2</c:v>
                </c:pt>
                <c:pt idx="8">
                  <c:v>0.22500000000000001</c:v>
                </c:pt>
                <c:pt idx="9">
                  <c:v>0.25</c:v>
                </c:pt>
                <c:pt idx="10">
                  <c:v>0.27500000000000002</c:v>
                </c:pt>
                <c:pt idx="11">
                  <c:v>0.3</c:v>
                </c:pt>
                <c:pt idx="12">
                  <c:v>0.32500000000000001</c:v>
                </c:pt>
                <c:pt idx="13">
                  <c:v>0.35</c:v>
                </c:pt>
                <c:pt idx="14">
                  <c:v>0.375</c:v>
                </c:pt>
                <c:pt idx="15">
                  <c:v>0.4</c:v>
                </c:pt>
                <c:pt idx="16">
                  <c:v>0.42499999999999999</c:v>
                </c:pt>
                <c:pt idx="17">
                  <c:v>0.45</c:v>
                </c:pt>
                <c:pt idx="18">
                  <c:v>0.47499999999999998</c:v>
                </c:pt>
                <c:pt idx="19">
                  <c:v>0.5</c:v>
                </c:pt>
              </c:numCache>
            </c:numRef>
          </c:xVal>
          <c:yVal>
            <c:numRef>
              <c:f>'Axial vs. Radial - Peripheral'!$D$2:$D$21</c:f>
              <c:numCache>
                <c:formatCode>General</c:formatCode>
                <c:ptCount val="20"/>
                <c:pt idx="0">
                  <c:v>1.0476195832591477</c:v>
                </c:pt>
                <c:pt idx="1">
                  <c:v>0.79348480736428484</c:v>
                </c:pt>
                <c:pt idx="2">
                  <c:v>0.60099882588982556</c:v>
                </c:pt>
                <c:pt idx="3">
                  <c:v>0.45520668495310468</c:v>
                </c:pt>
                <c:pt idx="4">
                  <c:v>0.34478124931309123</c:v>
                </c:pt>
                <c:pt idx="5">
                  <c:v>0.2611431549827577</c:v>
                </c:pt>
                <c:pt idx="6">
                  <c:v>0.19779424643948948</c:v>
                </c:pt>
                <c:pt idx="7">
                  <c:v>0.14981271068410199</c:v>
                </c:pt>
                <c:pt idx="8">
                  <c:v>0.11347068323033661</c:v>
                </c:pt>
                <c:pt idx="9">
                  <c:v>8.5944616407810204E-2</c:v>
                </c:pt>
                <c:pt idx="10">
                  <c:v>6.5095907411535259E-2</c:v>
                </c:pt>
                <c:pt idx="11">
                  <c:v>4.9304742272909721E-2</c:v>
                </c:pt>
                <c:pt idx="12">
                  <c:v>3.7344246470512772E-2</c:v>
                </c:pt>
                <c:pt idx="13">
                  <c:v>2.828516447223493E-2</c:v>
                </c:pt>
                <c:pt idx="14">
                  <c:v>2.1423662406820955E-2</c:v>
                </c:pt>
                <c:pt idx="15">
                  <c:v>1.6226644585078078E-2</c:v>
                </c:pt>
                <c:pt idx="16">
                  <c:v>1.2290335307310093E-2</c:v>
                </c:pt>
                <c:pt idx="17">
                  <c:v>9.3089080231054059E-3</c:v>
                </c:pt>
                <c:pt idx="18">
                  <c:v>7.050724525887812E-3</c:v>
                </c:pt>
                <c:pt idx="19">
                  <c:v>5.3403381166260517E-3</c:v>
                </c:pt>
              </c:numCache>
            </c:numRef>
          </c:yVal>
          <c:smooth val="0"/>
          <c:extLst>
            <c:ext xmlns:c16="http://schemas.microsoft.com/office/drawing/2014/chart" uri="{C3380CC4-5D6E-409C-BE32-E72D297353CC}">
              <c16:uniqueId val="{00000001-1D8F-473A-8210-E5FB508611EE}"/>
            </c:ext>
          </c:extLst>
        </c:ser>
        <c:dLbls>
          <c:showLegendKey val="0"/>
          <c:showVal val="0"/>
          <c:showCatName val="0"/>
          <c:showSerName val="0"/>
          <c:showPercent val="0"/>
          <c:showBubbleSize val="0"/>
        </c:dLbls>
        <c:axId val="155771648"/>
        <c:axId val="155773952"/>
      </c:scatterChart>
      <c:valAx>
        <c:axId val="155771648"/>
        <c:scaling>
          <c:orientation val="minMax"/>
        </c:scaling>
        <c:delete val="0"/>
        <c:axPos val="b"/>
        <c:majorGridlines>
          <c:spPr bwMode="auto">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r>
                  <a:rPr lang="en-US" sz="1100"/>
                  <a:t>Radial Depth of Cut (in)</a:t>
                </a:r>
                <a:endParaRPr lang="en-US"/>
              </a:p>
            </c:rich>
          </c:tx>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bwMode="auto">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crossAx val="155773952"/>
        <c:crosses val="autoZero"/>
        <c:crossBetween val="midCat"/>
      </c:valAx>
      <c:valAx>
        <c:axId val="155773952"/>
        <c:scaling>
          <c:orientation val="minMax"/>
        </c:scaling>
        <c:delete val="0"/>
        <c:axPos val="l"/>
        <c:majorGridlines>
          <c:spPr bwMode="auto">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r>
                  <a:rPr lang="en-US" sz="1100"/>
                  <a:t>Axial Depth of Cut (in)</a:t>
                </a:r>
                <a:endParaRPr lang="en-US"/>
              </a:p>
            </c:rich>
          </c:tx>
          <c:layout/>
          <c:overlay val="0"/>
          <c:spPr>
            <a:noFill/>
            <a:ln>
              <a:noFill/>
            </a:ln>
            <a:effectLst/>
          </c:spPr>
          <c:txPr>
            <a:bodyPr rot="-540000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bwMode="auto">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crossAx val="155771648"/>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chart>
  <c:spPr bwMode="auto">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Sampled</c:v>
          </c:tx>
          <c:spPr bwMode="auto">
            <a:ln w="25400" cap="rnd">
              <a:noFill/>
              <a:round/>
            </a:ln>
            <a:effectLst/>
          </c:spPr>
          <c:marker>
            <c:symbol val="circle"/>
            <c:size val="5"/>
            <c:spPr bwMode="auto">
              <a:solidFill>
                <a:schemeClr val="accent1"/>
              </a:solidFill>
              <a:ln w="9525">
                <a:solidFill>
                  <a:schemeClr val="accent1"/>
                </a:solidFill>
              </a:ln>
              <a:effectLst/>
            </c:spPr>
          </c:marker>
          <c:trendline>
            <c:spPr bwMode="auto">
              <a:ln w="19050" cap="rnd">
                <a:solidFill>
                  <a:schemeClr val="accent1"/>
                </a:solidFill>
                <a:prstDash val="sysDot"/>
              </a:ln>
              <a:effectLst/>
            </c:spPr>
            <c:trendlineType val="exp"/>
            <c:dispRSqr val="0"/>
            <c:dispEq val="0"/>
          </c:trendline>
          <c:xVal>
            <c:numRef>
              <c:f>'Axial vs. Radial - Peripheral'!$B$24:$B$43</c:f>
              <c:numCache>
                <c:formatCode>0%</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'Axial vs. Radial - Peripheral'!$C$24:$C$43</c:f>
              <c:numCache>
                <c:formatCode>0%</c:formatCode>
                <c:ptCount val="20"/>
                <c:pt idx="0">
                  <c:v>1.9</c:v>
                </c:pt>
                <c:pt idx="1">
                  <c:v>1.5</c:v>
                </c:pt>
                <c:pt idx="3">
                  <c:v>1</c:v>
                </c:pt>
                <c:pt idx="5">
                  <c:v>0.6</c:v>
                </c:pt>
                <c:pt idx="7">
                  <c:v>0.33333333333333331</c:v>
                </c:pt>
                <c:pt idx="9">
                  <c:v>0.14285714285714285</c:v>
                </c:pt>
              </c:numCache>
            </c:numRef>
          </c:yVal>
          <c:smooth val="0"/>
          <c:extLst>
            <c:ext xmlns:c16="http://schemas.microsoft.com/office/drawing/2014/chart" uri="{C3380CC4-5D6E-409C-BE32-E72D297353CC}">
              <c16:uniqueId val="{00000000-B819-42A5-8999-45F058D3BDA2}"/>
            </c:ext>
          </c:extLst>
        </c:ser>
        <c:ser>
          <c:idx val="1"/>
          <c:order val="1"/>
          <c:tx>
            <c:v>Interpolated</c:v>
          </c:tx>
          <c:spPr bwMode="auto">
            <a:ln w="25400" cap="rnd">
              <a:noFill/>
              <a:round/>
            </a:ln>
            <a:effectLst/>
          </c:spPr>
          <c:marker>
            <c:symbol val="circle"/>
            <c:size val="5"/>
            <c:spPr bwMode="auto">
              <a:solidFill>
                <a:schemeClr val="accent2"/>
              </a:solidFill>
              <a:ln w="9525">
                <a:solidFill>
                  <a:schemeClr val="accent2"/>
                </a:solidFill>
              </a:ln>
              <a:effectLst/>
            </c:spPr>
          </c:marker>
          <c:xVal>
            <c:numRef>
              <c:f>'Axial vs. Radial - Peripheral'!$B$24:$B$43</c:f>
              <c:numCache>
                <c:formatCode>0%</c:formatCode>
                <c:ptCount val="20"/>
                <c:pt idx="0">
                  <c:v>0.05</c:v>
                </c:pt>
                <c:pt idx="1">
                  <c:v>0.1</c:v>
                </c:pt>
                <c:pt idx="2">
                  <c:v>0.15</c:v>
                </c:pt>
                <c:pt idx="3">
                  <c:v>0.2</c:v>
                </c:pt>
                <c:pt idx="4">
                  <c:v>0.25</c:v>
                </c:pt>
                <c:pt idx="5">
                  <c:v>0.3</c:v>
                </c:pt>
                <c:pt idx="6">
                  <c:v>0.35</c:v>
                </c:pt>
                <c:pt idx="7">
                  <c:v>0.4</c:v>
                </c:pt>
                <c:pt idx="8">
                  <c:v>0.45</c:v>
                </c:pt>
                <c:pt idx="9">
                  <c:v>0.5</c:v>
                </c:pt>
                <c:pt idx="10">
                  <c:v>0.55000000000000004</c:v>
                </c:pt>
                <c:pt idx="11">
                  <c:v>0.6</c:v>
                </c:pt>
                <c:pt idx="12">
                  <c:v>0.65</c:v>
                </c:pt>
                <c:pt idx="13">
                  <c:v>0.7</c:v>
                </c:pt>
                <c:pt idx="14">
                  <c:v>0.75</c:v>
                </c:pt>
                <c:pt idx="15">
                  <c:v>0.8</c:v>
                </c:pt>
                <c:pt idx="16">
                  <c:v>0.85</c:v>
                </c:pt>
                <c:pt idx="17">
                  <c:v>0.9</c:v>
                </c:pt>
                <c:pt idx="18">
                  <c:v>0.95</c:v>
                </c:pt>
                <c:pt idx="19">
                  <c:v>1</c:v>
                </c:pt>
              </c:numCache>
            </c:numRef>
          </c:xVal>
          <c:yVal>
            <c:numRef>
              <c:f>'Axial vs. Radial - Peripheral'!$D$24:$D$43</c:f>
              <c:numCache>
                <c:formatCode>0.00%</c:formatCode>
                <c:ptCount val="20"/>
                <c:pt idx="0">
                  <c:v>2.0952391665182954</c:v>
                </c:pt>
                <c:pt idx="1">
                  <c:v>1.5869696147285697</c:v>
                </c:pt>
                <c:pt idx="2">
                  <c:v>1.2019976517796511</c:v>
                </c:pt>
                <c:pt idx="3">
                  <c:v>0.91041336990620936</c:v>
                </c:pt>
                <c:pt idx="4">
                  <c:v>0.68956249862618246</c:v>
                </c:pt>
                <c:pt idx="5">
                  <c:v>0.52228630996551539</c:v>
                </c:pt>
                <c:pt idx="6">
                  <c:v>0.39558849287897896</c:v>
                </c:pt>
                <c:pt idx="7">
                  <c:v>0.29962542136820397</c:v>
                </c:pt>
                <c:pt idx="8">
                  <c:v>0.22694136646067323</c:v>
                </c:pt>
                <c:pt idx="9">
                  <c:v>0.17188923281562041</c:v>
                </c:pt>
                <c:pt idx="10">
                  <c:v>0.13019181482307052</c:v>
                </c:pt>
                <c:pt idx="11">
                  <c:v>9.8609484545819442E-2</c:v>
                </c:pt>
                <c:pt idx="12">
                  <c:v>7.4688492941025544E-2</c:v>
                </c:pt>
                <c:pt idx="13">
                  <c:v>5.657032894446986E-2</c:v>
                </c:pt>
                <c:pt idx="14">
                  <c:v>4.284732481364191E-2</c:v>
                </c:pt>
                <c:pt idx="15">
                  <c:v>3.2453289170156156E-2</c:v>
                </c:pt>
                <c:pt idx="16">
                  <c:v>2.4580670614620187E-2</c:v>
                </c:pt>
                <c:pt idx="17">
                  <c:v>1.8617816046210812E-2</c:v>
                </c:pt>
                <c:pt idx="18">
                  <c:v>1.4101449051775624E-2</c:v>
                </c:pt>
                <c:pt idx="19">
                  <c:v>1.0680676233252103E-2</c:v>
                </c:pt>
              </c:numCache>
            </c:numRef>
          </c:yVal>
          <c:smooth val="0"/>
          <c:extLst>
            <c:ext xmlns:c16="http://schemas.microsoft.com/office/drawing/2014/chart" uri="{C3380CC4-5D6E-409C-BE32-E72D297353CC}">
              <c16:uniqueId val="{00000001-B819-42A5-8999-45F058D3BDA2}"/>
            </c:ext>
          </c:extLst>
        </c:ser>
        <c:dLbls>
          <c:showLegendKey val="0"/>
          <c:showVal val="0"/>
          <c:showCatName val="0"/>
          <c:showSerName val="0"/>
          <c:showPercent val="0"/>
          <c:showBubbleSize val="0"/>
        </c:dLbls>
        <c:axId val="155771648"/>
        <c:axId val="155773952"/>
      </c:scatterChart>
      <c:valAx>
        <c:axId val="155771648"/>
        <c:scaling>
          <c:orientation val="minMax"/>
          <c:max val="1"/>
        </c:scaling>
        <c:delete val="0"/>
        <c:axPos val="b"/>
        <c:majorGridlines>
          <c:spPr bwMode="auto">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r>
                  <a:rPr lang="en-US" sz="1100"/>
                  <a:t>Radial Depth of Cut (%)</a:t>
                </a:r>
                <a:endParaRPr lang="en-US"/>
              </a:p>
            </c:rich>
          </c:tx>
          <c:layout/>
          <c:overlay val="0"/>
          <c:spPr>
            <a:noFill/>
            <a:ln>
              <a:noFill/>
            </a:ln>
            <a:effectLst/>
          </c:spPr>
          <c:txPr>
            <a:bodyPr rot="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bwMode="auto">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crossAx val="155773952"/>
        <c:crosses val="autoZero"/>
        <c:crossBetween val="midCat"/>
      </c:valAx>
      <c:valAx>
        <c:axId val="155773952"/>
        <c:scaling>
          <c:orientation val="minMax"/>
          <c:max val="2.2000000000000002"/>
          <c:min val="0"/>
        </c:scaling>
        <c:delete val="0"/>
        <c:axPos val="l"/>
        <c:majorGridlines>
          <c:spPr bwMode="auto">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r>
                  <a:rPr lang="en-US" sz="1100"/>
                  <a:t>Axial Depth of Cut (%)</a:t>
                </a:r>
                <a:endParaRPr lang="en-US"/>
              </a:p>
            </c:rich>
          </c:tx>
          <c:layout/>
          <c:overlay val="0"/>
          <c:spPr>
            <a:noFill/>
            <a:ln>
              <a:noFill/>
            </a:ln>
            <a:effectLst/>
          </c:spPr>
          <c:txPr>
            <a:bodyPr rot="-540000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bwMode="auto">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baseline="0">
                <a:solidFill>
                  <a:schemeClr val="tx1">
                    <a:lumMod val="65000"/>
                    <a:lumOff val="35000"/>
                  </a:schemeClr>
                </a:solidFill>
                <a:latin typeface="+mn-lt"/>
                <a:ea typeface="+mn-ea"/>
                <a:cs typeface="+mn-cs"/>
              </a:defRPr>
            </a:pPr>
            <a:endParaRPr lang="en-US"/>
          </a:p>
        </c:txPr>
        <c:crossAx val="155771648"/>
        <c:crosses val="autoZero"/>
        <c:crossBetween val="midCat"/>
        <c:majorUnit val="0.2"/>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legend>
    <c:plotVisOnly val="1"/>
    <c:dispBlanksAs val="gap"/>
    <c:showDLblsOverMax val="0"/>
  </c:chart>
  <c:spPr bwMode="auto">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111" l="0.70000000000000062" r="0.70000000000000062" t="0.75000000000000111"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25000"/>
            <a:lumOff val="7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19050"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MarkerLayout/>
  <cs:dataPointWireframe>
    <cs:lnRef idx="0">
      <cs:styleClr val="auto"/>
    </cs:lnRef>
    <cs:fillRef idx="0"/>
    <cs:effectRef idx="0"/>
    <cs:fontRef idx="minor">
      <a:schemeClr val="dk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tx1"/>
    </cs:fontRef>
    <cs:spPr bwMode="auto">
      <a:prstGeom prst="rect">
        <a:avLst/>
      </a:prstGeom>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50000"/>
            <a:lumOff val="50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bwMode="auto">
      <a:prstGeom prst="rect">
        <a:avLst/>
      </a:prstGeom>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bwMode="auto">
      <a:prstGeom prst="rect">
        <a:avLst/>
      </a:prstGeom>
      <a:ln w="9525" cap="flat" cmpd="sng" algn="ctr">
        <a:solidFill>
          <a:schemeClr val="tx1">
            <a:lumMod val="25000"/>
            <a:lumOff val="75000"/>
          </a:schemeClr>
        </a:solidFill>
        <a:round/>
      </a:ln>
    </cs:spPr>
    <cs:defRPr sz="900"/>
  </cs:valueAxis>
  <cs:wall>
    <cs:lnRef idx="0"/>
    <cs:fillRef idx="0"/>
    <cs:effectRef idx="0"/>
    <cs:fontRef idx="minor">
      <a:schemeClr val="tx1"/>
    </cs:fontRef>
    <cs:spPr bwMode="auto">
      <a:prstGeom prst="rect">
        <a:avLst/>
      </a:prstGeom>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25000"/>
            <a:lumOff val="7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19050"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MarkerLayout/>
  <cs:dataPointWireframe>
    <cs:lnRef idx="0">
      <cs:styleClr val="auto"/>
    </cs:lnRef>
    <cs:fillRef idx="0"/>
    <cs:effectRef idx="0"/>
    <cs:fontRef idx="minor">
      <a:schemeClr val="dk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tx1"/>
    </cs:fontRef>
    <cs:spPr bwMode="auto">
      <a:prstGeom prst="rect">
        <a:avLst/>
      </a:prstGeom>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50000"/>
            <a:lumOff val="50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bwMode="auto">
      <a:prstGeom prst="rect">
        <a:avLst/>
      </a:prstGeom>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bwMode="auto">
      <a:prstGeom prst="rect">
        <a:avLst/>
      </a:prstGeom>
      <a:ln w="9525" cap="flat" cmpd="sng" algn="ctr">
        <a:solidFill>
          <a:schemeClr val="tx1">
            <a:lumMod val="25000"/>
            <a:lumOff val="75000"/>
          </a:schemeClr>
        </a:solidFill>
        <a:round/>
      </a:ln>
    </cs:spPr>
    <cs:defRPr sz="900"/>
  </cs:valueAxis>
  <cs:wall>
    <cs:lnRef idx="0"/>
    <cs:fillRef idx="0"/>
    <cs:effectRef idx="0"/>
    <cs:fontRef idx="minor">
      <a:schemeClr val="tx1"/>
    </cs:fontRef>
    <cs:spPr bwMode="auto">
      <a:prstGeom prst="rect">
        <a:avLst/>
      </a:prstGeom>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15</xdr:col>
      <xdr:colOff>0</xdr:colOff>
      <xdr:row>21</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22</xdr:row>
      <xdr:rowOff>0</xdr:rowOff>
    </xdr:from>
    <xdr:to>
      <xdr:col>15</xdr:col>
      <xdr:colOff>0</xdr:colOff>
      <xdr:row>43</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293424</xdr:colOff>
      <xdr:row>3</xdr:row>
      <xdr:rowOff>872</xdr:rowOff>
    </xdr:from>
    <xdr:to>
      <xdr:col>4</xdr:col>
      <xdr:colOff>328984</xdr:colOff>
      <xdr:row>4</xdr:row>
      <xdr:rowOff>182148</xdr:rowOff>
    </xdr:to>
    <xdr:cxnSp macro="">
      <xdr:nvCxnSpPr>
        <xdr:cNvPr id="3" name="Elbow Connector 2"/>
        <xdr:cNvCxnSpPr/>
      </xdr:nvCxnSpPr>
      <xdr:spPr>
        <a:xfrm rot="16200000" flipH="1">
          <a:off x="2546671" y="93783"/>
          <a:ext cx="365760" cy="1286844"/>
        </a:xfrm>
        <a:prstGeom prst="bentConnector3">
          <a:avLst>
            <a:gd name="adj1" fmla="val 35071"/>
          </a:avLst>
        </a:prstGeom>
        <a:ln w="12700">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293423</xdr:colOff>
      <xdr:row>3</xdr:row>
      <xdr:rowOff>872</xdr:rowOff>
    </xdr:from>
    <xdr:to>
      <xdr:col>4</xdr:col>
      <xdr:colOff>328983</xdr:colOff>
      <xdr:row>4</xdr:row>
      <xdr:rowOff>182148</xdr:rowOff>
    </xdr:to>
    <xdr:cxnSp macro="">
      <xdr:nvCxnSpPr>
        <xdr:cNvPr id="22" name="Elbow Connector 21"/>
        <xdr:cNvCxnSpPr/>
      </xdr:nvCxnSpPr>
      <xdr:spPr>
        <a:xfrm rot="5400000">
          <a:off x="2546670" y="93783"/>
          <a:ext cx="365760" cy="1286844"/>
        </a:xfrm>
        <a:prstGeom prst="bentConnector3">
          <a:avLst>
            <a:gd name="adj1" fmla="val 35071"/>
          </a:avLst>
        </a:prstGeom>
        <a:ln w="12700">
          <a:headEnd type="triangle" w="med" len="med"/>
          <a:tailEnd type="triangle" w="med" len="med"/>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309467</xdr:colOff>
      <xdr:row>3</xdr:row>
      <xdr:rowOff>872</xdr:rowOff>
    </xdr:from>
    <xdr:to>
      <xdr:col>8</xdr:col>
      <xdr:colOff>345027</xdr:colOff>
      <xdr:row>4</xdr:row>
      <xdr:rowOff>182148</xdr:rowOff>
    </xdr:to>
    <xdr:cxnSp macro="">
      <xdr:nvCxnSpPr>
        <xdr:cNvPr id="24" name="Elbow Connector 23"/>
        <xdr:cNvCxnSpPr/>
      </xdr:nvCxnSpPr>
      <xdr:spPr>
        <a:xfrm rot="16200000" flipH="1">
          <a:off x="5065283" y="93783"/>
          <a:ext cx="365760" cy="1286844"/>
        </a:xfrm>
        <a:prstGeom prst="bentConnector3">
          <a:avLst>
            <a:gd name="adj1" fmla="val 35071"/>
          </a:avLst>
        </a:prstGeom>
        <a:ln w="12700">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309466</xdr:colOff>
      <xdr:row>3</xdr:row>
      <xdr:rowOff>872</xdr:rowOff>
    </xdr:from>
    <xdr:to>
      <xdr:col>8</xdr:col>
      <xdr:colOff>345026</xdr:colOff>
      <xdr:row>4</xdr:row>
      <xdr:rowOff>182148</xdr:rowOff>
    </xdr:to>
    <xdr:cxnSp macro="">
      <xdr:nvCxnSpPr>
        <xdr:cNvPr id="25" name="Elbow Connector 24"/>
        <xdr:cNvCxnSpPr/>
      </xdr:nvCxnSpPr>
      <xdr:spPr>
        <a:xfrm rot="5400000">
          <a:off x="5065282" y="93783"/>
          <a:ext cx="365760" cy="1286844"/>
        </a:xfrm>
        <a:prstGeom prst="bentConnector3">
          <a:avLst>
            <a:gd name="adj1" fmla="val 35071"/>
          </a:avLst>
        </a:prstGeom>
        <a:ln w="12700">
          <a:headEnd type="triangle" w="med" len="med"/>
          <a:tailEnd type="triangle" w="med" len="med"/>
        </a:ln>
      </xdr:spPr>
      <xdr:style>
        <a:lnRef idx="1">
          <a:schemeClr val="accent2"/>
        </a:lnRef>
        <a:fillRef idx="0">
          <a:schemeClr val="accent2"/>
        </a:fillRef>
        <a:effectRef idx="0">
          <a:schemeClr val="accent2"/>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Cheese" id="{408D1EB5-08C2-07C2-A17D-88B88C5902A8}"/>
  <person displayName="cheese" id="{2CC1796A-C889-F7E7-5BC7-4D4C5C8125F0}" userId="cheese" providerId="Teamlab"/>
</personList>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personId="{408D1EB5-08C2-07C2-A17D-88B88C5902A8}" id="{007800CA-0036-4157-8A20-0015001C0013}" done="0">
    <text xml:space="preserve">spot drill: use drill diameter instead of target hole diameter
</text>
  </threadedComment>
  <threadedComment ref="K1" dT="2025-10-17T08:13:33.54Z" personId="{2CC1796A-C889-F7E7-5BC7-4D4C5C8125F0}" id="{0A423A6A-0F3D-A0F3-9F98-EB022E9EBDA3}" done="0">
    <text xml:space="preserve">IPR = Feed Per Revolution
</text>
  </threadedComment>
  <threadedComment ref="R1" dT="2025-11-10T10:51:56.85Z" personId="{2CC1796A-C889-F7E7-5BC7-4D4C5C8125F0}" id="{F0EB8FBB-3BB1-C285-9C2E-74A958C756ED}" done="0">
    <text xml:space="preserve">or [number of revolutions] * 60 / RPM
</text>
  </threadedComment>
  <threadedComment ref="G1" dT="2025-10-17T08:14:02.60Z" personId="{2CC1796A-C889-F7E7-5BC7-4D4C5C8125F0}" id="{33208C55-5173-7A65-356D-F6565965246F}" done="0">
    <text xml:space="preserve">use integer value for CNC machines
</text>
  </threadedComment>
  <threadedComment ref="F2" dT="2025-10-30T05:25:49.19Z" personId="{2CC1796A-C889-F7E7-5BC7-4D4C5C8125F0}" id="{CDBD353A-2E69-1463-C219-E63C00D44D91}" done="0">
    <text xml:space="preserve">SFM = SFPM
</text>
  </threadedComment>
  <threadedComment ref="J2" dT="2025-12-05T06:48:54.59Z" personId="{2CC1796A-C889-F7E7-5BC7-4D4C5C8125F0}" id="{67127321-7F75-328E-FB72-9BB53DF499D1}" done="0">
    <text xml:space="preserve">1/4 to 1/3 of drilling RPM
</text>
  </threadedComment>
  <threadedComment ref="E5" dT="2025-10-10T08:29:01.55Z" personId="{2CC1796A-C889-F7E7-5BC7-4D4C5C8125F0}" id="{00AB5AD2-6321-BC41-8CD2-54FD253002A6}" done="0">
    <text xml:space="preserve">Mild steel, soft steel, machine steel, 1020 steel, low carbon steel, CRS (cold
rolled steel), have the same cutting speed.
</text>
  </threadedComment>
  <threadedComment ref="F7" dT="2025-10-10T07:47:07.39Z" personId="{2CC1796A-C889-F7E7-5BC7-4D4C5C8125F0}" id="{CAE47020-022C-1731-0D7C-DAD00F3D75D1}" done="0">
    <text xml:space="preserve">use 400 for machines
300 is in the book
</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5-10-17T08:13:33.54Z" personId="{2CC1796A-C889-F7E7-5BC7-4D4C5C8125F0}" id="{67B01714-BE36-1B83-71B3-766E5C3CEF95}" done="0">
    <text xml:space="preserve">UNC/UNF Taps
</text>
  </threadedComment>
  <threadedComment ref="G1" dT="2025-11-02T08:08:14.05Z" personId="{2CC1796A-C889-F7E7-5BC7-4D4C5C8125F0}" id="{30F8A812-A00F-8319-EDA7-7848A9DE2B92}" done="0">
    <text xml:space="preserve">UNC/UNF Taps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V35"/>
  <sheetViews>
    <sheetView zoomScaleNormal="100" workbookViewId="0">
      <pane xSplit="5" ySplit="2" topLeftCell="F3" activePane="bottomRight" state="frozen"/>
      <selection activeCell="B9" sqref="B9:B10"/>
      <selection pane="topRight" activeCell="B9" sqref="B9:B10"/>
      <selection pane="bottomLeft" activeCell="B9" sqref="B9:B10"/>
      <selection pane="bottomRight" activeCell="B11" sqref="B11"/>
    </sheetView>
  </sheetViews>
  <sheetFormatPr defaultColWidth="9.33203125" defaultRowHeight="14.4"/>
  <cols>
    <col min="1" max="1" width="12.44140625" style="3" bestFit="1" customWidth="1"/>
    <col min="2" max="2" width="8.44140625" style="3" bestFit="1" customWidth="1"/>
    <col min="3" max="3" width="10.5546875" style="1" bestFit="1" customWidth="1"/>
    <col min="4" max="4" width="10.5546875" style="1" customWidth="1"/>
    <col min="5" max="5" width="41.33203125" style="2" customWidth="1"/>
    <col min="6" max="6" width="14.109375" style="3" bestFit="1" customWidth="1"/>
    <col min="7" max="7" width="9" style="3" bestFit="1"/>
    <col min="8" max="8" width="17.33203125" style="3" bestFit="1"/>
    <col min="9" max="9" width="20.6640625" style="3" customWidth="1"/>
    <col min="10" max="10" width="9.33203125" style="3" customWidth="1"/>
    <col min="11" max="13" width="9.33203125" style="3" hidden="1" customWidth="1"/>
    <col min="14" max="14" width="9.33203125" style="4" customWidth="1"/>
    <col min="15" max="15" width="14.88671875" style="4" bestFit="1" customWidth="1"/>
    <col min="16" max="16" width="11.88671875" style="4" bestFit="1" customWidth="1"/>
    <col min="17" max="17" width="16.88671875" style="4" bestFit="1" customWidth="1"/>
    <col min="18" max="18" width="20.6640625" style="4" customWidth="1"/>
    <col min="19" max="19" width="11.88671875" style="4" customWidth="1"/>
    <col min="20" max="20" width="9.33203125" style="3" customWidth="1"/>
    <col min="21" max="21" width="17.21875" style="3" bestFit="1" customWidth="1"/>
    <col min="22" max="22" width="11.88671875" style="3" bestFit="1" customWidth="1"/>
    <col min="23" max="16384" width="9.33203125" style="3"/>
  </cols>
  <sheetData>
    <row r="1" spans="1:22" s="5" customFormat="1" ht="28.8">
      <c r="A1" s="50" t="s">
        <v>0</v>
      </c>
      <c r="B1" s="58" t="s">
        <v>1</v>
      </c>
      <c r="C1" s="58" t="s">
        <v>2</v>
      </c>
      <c r="D1" s="58" t="s">
        <v>3</v>
      </c>
      <c r="E1" s="6"/>
      <c r="F1" s="59"/>
      <c r="G1" s="86" t="s">
        <v>4</v>
      </c>
      <c r="H1" s="86"/>
      <c r="I1" s="86"/>
      <c r="J1" s="86"/>
      <c r="K1" s="87" t="s">
        <v>5</v>
      </c>
      <c r="L1" s="88"/>
      <c r="M1" s="88"/>
      <c r="N1" s="89" t="s">
        <v>6</v>
      </c>
      <c r="O1" s="89"/>
      <c r="P1" s="89"/>
      <c r="Q1" s="89"/>
      <c r="R1" s="89"/>
      <c r="S1" s="89"/>
      <c r="T1" s="90" t="s">
        <v>7</v>
      </c>
      <c r="U1" s="90"/>
      <c r="V1" s="90"/>
    </row>
    <row r="2" spans="1:22" s="50" customFormat="1" ht="57.6">
      <c r="A2" s="7">
        <v>0.5</v>
      </c>
      <c r="B2" s="7">
        <v>2</v>
      </c>
      <c r="C2" s="7">
        <v>1E-3</v>
      </c>
      <c r="D2" s="7">
        <v>24</v>
      </c>
      <c r="E2" s="58" t="s">
        <v>8</v>
      </c>
      <c r="F2" s="60" t="s">
        <v>9</v>
      </c>
      <c r="G2" s="61" t="s">
        <v>10</v>
      </c>
      <c r="H2" s="62" t="s">
        <v>11</v>
      </c>
      <c r="I2" s="63" t="s">
        <v>12</v>
      </c>
      <c r="J2" s="64" t="s">
        <v>13</v>
      </c>
      <c r="K2" s="50" t="s">
        <v>14</v>
      </c>
      <c r="L2" s="50" t="s">
        <v>15</v>
      </c>
      <c r="M2" s="50" t="s">
        <v>13</v>
      </c>
      <c r="N2" s="65" t="s">
        <v>14</v>
      </c>
      <c r="O2" s="66" t="s">
        <v>16</v>
      </c>
      <c r="P2" s="65" t="s">
        <v>17</v>
      </c>
      <c r="Q2" s="67" t="s">
        <v>11</v>
      </c>
      <c r="R2" s="68" t="s">
        <v>12</v>
      </c>
      <c r="S2" s="69" t="s">
        <v>13</v>
      </c>
      <c r="T2" s="70" t="s">
        <v>10</v>
      </c>
      <c r="U2" s="71" t="s">
        <v>11</v>
      </c>
      <c r="V2" s="70" t="s">
        <v>18</v>
      </c>
    </row>
    <row r="3" spans="1:22" s="8" customFormat="1">
      <c r="A3" s="3"/>
      <c r="B3" s="3"/>
      <c r="C3" s="1"/>
      <c r="D3" s="1"/>
      <c r="E3" s="9" t="s">
        <v>19</v>
      </c>
      <c r="F3" s="72">
        <v>50</v>
      </c>
      <c r="G3" s="54">
        <f xml:space="preserve"> F3 / (PI() / 12 * $A$2)</f>
        <v>381.97186342054886</v>
      </c>
      <c r="H3" s="52">
        <f xml:space="preserve"> G3 / 2</f>
        <v>190.98593171027443</v>
      </c>
      <c r="I3" s="54">
        <f xml:space="preserve"> G3 * 0.66</f>
        <v>252.10142985756227</v>
      </c>
      <c r="J3" s="73">
        <f xml:space="preserve"> G3 / 4</f>
        <v>95.492965855137214</v>
      </c>
      <c r="K3" s="74">
        <f xml:space="preserve"> A2 / (1 / 16) * 0.001</f>
        <v>8.0000000000000002E-3</v>
      </c>
      <c r="L3" s="74">
        <f xml:space="preserve"> C2 * B2</f>
        <v>2E-3</v>
      </c>
      <c r="M3" s="74">
        <f xml:space="preserve"> 1 / D2</f>
        <v>4.1666666666666664E-2</v>
      </c>
      <c r="N3" s="56">
        <f xml:space="preserve"> G3 * $K$3</f>
        <v>3.0557749073643907</v>
      </c>
      <c r="O3" s="55">
        <f xml:space="preserve"> $C$2 * $B$2 * G3</f>
        <v>0.76394372684109768</v>
      </c>
      <c r="P3" s="56">
        <f xml:space="preserve"> O3 / 2</f>
        <v>0.38197186342054884</v>
      </c>
      <c r="Q3" s="55">
        <f t="shared" ref="Q3:R7" si="0" xml:space="preserve"> H3 * $K$3</f>
        <v>1.5278874536821954</v>
      </c>
      <c r="R3" s="56">
        <f t="shared" si="0"/>
        <v>2.0168114388604983</v>
      </c>
      <c r="S3" s="75">
        <f xml:space="preserve"> J3 / $D$2</f>
        <v>3.9788735772973838</v>
      </c>
      <c r="T3" s="76">
        <f t="shared" ref="T3:V7" si="1" xml:space="preserve"> ROUNDUP((1 / $B$2) * 60 / G3, 3)</f>
        <v>7.9000000000000001E-2</v>
      </c>
      <c r="U3" s="57">
        <f t="shared" si="1"/>
        <v>0.158</v>
      </c>
      <c r="V3" s="76">
        <f t="shared" si="1"/>
        <v>0.11899999999999999</v>
      </c>
    </row>
    <row r="4" spans="1:22" s="8" customFormat="1">
      <c r="A4" s="3"/>
      <c r="B4" s="3"/>
      <c r="C4" s="1"/>
      <c r="D4" s="1"/>
      <c r="E4" s="9" t="s">
        <v>20</v>
      </c>
      <c r="F4" s="72">
        <v>70</v>
      </c>
      <c r="G4" s="54">
        <f xml:space="preserve"> F4 / (PI() / 12 * $A$2)</f>
        <v>534.76060878876842</v>
      </c>
      <c r="H4" s="52">
        <f xml:space="preserve"> G4 / 2</f>
        <v>267.38030439438421</v>
      </c>
      <c r="I4" s="54">
        <f xml:space="preserve"> G4 * 0.66</f>
        <v>352.94200180058715</v>
      </c>
      <c r="J4" s="73">
        <f xml:space="preserve"> G4 / 4</f>
        <v>133.69015219719211</v>
      </c>
      <c r="N4" s="56">
        <f xml:space="preserve"> G4 * $K$3</f>
        <v>4.2780848703101473</v>
      </c>
      <c r="O4" s="55">
        <f xml:space="preserve"> $C$2 * $B$2 * G4</f>
        <v>1.0695212175775368</v>
      </c>
      <c r="P4" s="56">
        <f xml:space="preserve"> O4 / 2</f>
        <v>0.53476060878876841</v>
      </c>
      <c r="Q4" s="55">
        <f t="shared" si="0"/>
        <v>2.1390424351550736</v>
      </c>
      <c r="R4" s="56">
        <f t="shared" si="0"/>
        <v>2.8235360144046973</v>
      </c>
      <c r="S4" s="75">
        <f xml:space="preserve"> J4 / $D$2</f>
        <v>5.5704230082163377</v>
      </c>
      <c r="T4" s="76">
        <f t="shared" si="1"/>
        <v>5.7000000000000002E-2</v>
      </c>
      <c r="U4" s="57">
        <f t="shared" si="1"/>
        <v>0.113</v>
      </c>
      <c r="V4" s="76">
        <f t="shared" si="1"/>
        <v>8.5000000000000006E-2</v>
      </c>
    </row>
    <row r="5" spans="1:22" s="8" customFormat="1">
      <c r="A5" s="3"/>
      <c r="B5" s="3"/>
      <c r="C5" s="1"/>
      <c r="D5" s="1"/>
      <c r="E5" s="9" t="s">
        <v>21</v>
      </c>
      <c r="F5" s="72">
        <v>100</v>
      </c>
      <c r="G5" s="54">
        <f xml:space="preserve"> F5 / (PI() / 12 * $A$2)</f>
        <v>763.94372684109771</v>
      </c>
      <c r="H5" s="52">
        <f xml:space="preserve"> G5 / 2</f>
        <v>381.97186342054886</v>
      </c>
      <c r="I5" s="54">
        <f xml:space="preserve"> G5 * 0.66</f>
        <v>504.20285971512453</v>
      </c>
      <c r="J5" s="73">
        <f xml:space="preserve"> G5 / 4</f>
        <v>190.98593171027443</v>
      </c>
      <c r="N5" s="56">
        <f xml:space="preserve"> G5 * $K$3</f>
        <v>6.1115498147287814</v>
      </c>
      <c r="O5" s="55">
        <f xml:space="preserve"> $C$2 * $B$2 * G5</f>
        <v>1.5278874536821954</v>
      </c>
      <c r="P5" s="56">
        <f xml:space="preserve"> O5 / 2</f>
        <v>0.76394372684109768</v>
      </c>
      <c r="Q5" s="55">
        <f t="shared" si="0"/>
        <v>3.0557749073643907</v>
      </c>
      <c r="R5" s="56">
        <f t="shared" si="0"/>
        <v>4.0336228777209966</v>
      </c>
      <c r="S5" s="75">
        <f xml:space="preserve"> J5 / $D$2</f>
        <v>7.9577471545947676</v>
      </c>
      <c r="T5" s="76">
        <f t="shared" si="1"/>
        <v>0.04</v>
      </c>
      <c r="U5" s="57">
        <f t="shared" si="1"/>
        <v>7.9000000000000001E-2</v>
      </c>
      <c r="V5" s="76">
        <f t="shared" si="1"/>
        <v>0.06</v>
      </c>
    </row>
    <row r="6" spans="1:22" s="8" customFormat="1">
      <c r="A6" s="3"/>
      <c r="B6" s="3"/>
      <c r="C6" s="1"/>
      <c r="D6" s="1"/>
      <c r="E6" s="9" t="s">
        <v>22</v>
      </c>
      <c r="F6" s="72">
        <v>200</v>
      </c>
      <c r="G6" s="54">
        <f xml:space="preserve"> F6 / (PI() / 12 * $A$2)</f>
        <v>1527.8874536821954</v>
      </c>
      <c r="H6" s="52">
        <f xml:space="preserve"> G6 / 2</f>
        <v>763.94372684109771</v>
      </c>
      <c r="I6" s="54">
        <f xml:space="preserve"> G6 * 0.66</f>
        <v>1008.4057194302491</v>
      </c>
      <c r="J6" s="73">
        <f xml:space="preserve"> G6 / 4</f>
        <v>381.97186342054886</v>
      </c>
      <c r="N6" s="56">
        <f xml:space="preserve"> G6 * $K$3</f>
        <v>12.223099629457563</v>
      </c>
      <c r="O6" s="55">
        <f xml:space="preserve"> $C$2 * $B$2 * G6</f>
        <v>3.0557749073643907</v>
      </c>
      <c r="P6" s="56">
        <f xml:space="preserve"> O6 / 2</f>
        <v>1.5278874536821954</v>
      </c>
      <c r="Q6" s="55">
        <f t="shared" si="0"/>
        <v>6.1115498147287814</v>
      </c>
      <c r="R6" s="56">
        <f t="shared" si="0"/>
        <v>8.0672457554419932</v>
      </c>
      <c r="S6" s="75">
        <f xml:space="preserve"> J6 / $D$2</f>
        <v>15.915494309189535</v>
      </c>
      <c r="T6" s="76">
        <f t="shared" si="1"/>
        <v>0.02</v>
      </c>
      <c r="U6" s="57">
        <f t="shared" si="1"/>
        <v>0.04</v>
      </c>
      <c r="V6" s="76">
        <f t="shared" si="1"/>
        <v>3.0000000000000002E-2</v>
      </c>
    </row>
    <row r="7" spans="1:22" s="8" customFormat="1">
      <c r="A7" s="3"/>
      <c r="B7" s="3"/>
      <c r="C7" s="1"/>
      <c r="D7" s="1"/>
      <c r="E7" s="9" t="s">
        <v>23</v>
      </c>
      <c r="F7" s="72">
        <v>400</v>
      </c>
      <c r="G7" s="54">
        <f xml:space="preserve"> F7 / (PI() / 12 * $A$2)</f>
        <v>3055.7749073643909</v>
      </c>
      <c r="H7" s="52">
        <f xml:space="preserve"> G7 / 2</f>
        <v>1527.8874536821954</v>
      </c>
      <c r="I7" s="54">
        <f xml:space="preserve"> G7 * 0.66</f>
        <v>2016.8114388604981</v>
      </c>
      <c r="J7" s="73">
        <f xml:space="preserve"> G7 / 4</f>
        <v>763.94372684109771</v>
      </c>
      <c r="N7" s="56">
        <f xml:space="preserve"> G7 * $K$3</f>
        <v>24.446199258915126</v>
      </c>
      <c r="O7" s="55">
        <f xml:space="preserve"> $C$2 * $B$2 * G7</f>
        <v>6.1115498147287814</v>
      </c>
      <c r="P7" s="56">
        <f xml:space="preserve"> O7 / 2</f>
        <v>3.0557749073643907</v>
      </c>
      <c r="Q7" s="55">
        <f t="shared" si="0"/>
        <v>12.223099629457563</v>
      </c>
      <c r="R7" s="56">
        <f t="shared" si="0"/>
        <v>16.134491510883986</v>
      </c>
      <c r="S7" s="75">
        <f xml:space="preserve"> J7 / $D$2</f>
        <v>31.83098861837907</v>
      </c>
      <c r="T7" s="76">
        <f t="shared" si="1"/>
        <v>9.9999999999999985E-3</v>
      </c>
      <c r="U7" s="57">
        <f t="shared" si="1"/>
        <v>0.02</v>
      </c>
      <c r="V7" s="76">
        <f t="shared" si="1"/>
        <v>1.4999999999999999E-2</v>
      </c>
    </row>
    <row r="8" spans="1:22" s="8" customFormat="1">
      <c r="A8" s="3"/>
      <c r="B8" s="3"/>
      <c r="C8" s="1"/>
      <c r="D8" s="1"/>
      <c r="F8" s="72"/>
      <c r="G8" s="54"/>
      <c r="H8" s="51"/>
      <c r="I8" s="53"/>
      <c r="J8" s="73"/>
      <c r="N8" s="56"/>
      <c r="O8" s="55"/>
      <c r="P8" s="56"/>
      <c r="Q8" s="55"/>
      <c r="R8" s="56"/>
      <c r="S8" s="75"/>
      <c r="T8" s="76"/>
      <c r="U8" s="57"/>
      <c r="V8" s="76"/>
    </row>
    <row r="9" spans="1:22" s="8" customFormat="1">
      <c r="A9" s="3"/>
      <c r="B9" s="3"/>
      <c r="C9" s="1"/>
      <c r="D9" s="1"/>
      <c r="E9" s="9" t="s">
        <v>24</v>
      </c>
      <c r="F9" s="72">
        <v>300</v>
      </c>
      <c r="G9" s="54">
        <f t="shared" ref="G9:G35" si="2" xml:space="preserve"> F9 / (PI() / 12 * $A$2)</f>
        <v>2291.8311805232929</v>
      </c>
      <c r="H9" s="52">
        <f t="shared" ref="H9:H35" si="3" xml:space="preserve"> G9 / 2</f>
        <v>1145.9155902616465</v>
      </c>
      <c r="I9" s="54">
        <f t="shared" ref="I9:I35" si="4" xml:space="preserve"> G9 * 0.66</f>
        <v>1512.6085791453734</v>
      </c>
      <c r="J9" s="73">
        <f t="shared" ref="J9:J35" si="5" xml:space="preserve"> G9 / 4</f>
        <v>572.95779513082323</v>
      </c>
      <c r="N9" s="56">
        <f t="shared" ref="N9:N35" si="6" xml:space="preserve"> G9 * $K$3</f>
        <v>18.334649444186343</v>
      </c>
      <c r="O9" s="55">
        <f t="shared" ref="O9:O35" si="7" xml:space="preserve"> $C$2 * $B$2 * G9</f>
        <v>4.5836623610465859</v>
      </c>
      <c r="P9" s="56">
        <f t="shared" ref="P9:P35" si="8" xml:space="preserve"> O9 / 2</f>
        <v>2.2918311805232929</v>
      </c>
      <c r="Q9" s="55">
        <f t="shared" ref="Q9:Q35" si="9" xml:space="preserve"> H9 * $K$3</f>
        <v>9.1673247220931717</v>
      </c>
      <c r="R9" s="56">
        <f t="shared" ref="R9:R35" si="10" xml:space="preserve"> I9 * $K$3</f>
        <v>12.100868633162987</v>
      </c>
      <c r="S9" s="75">
        <f t="shared" ref="S9:S35" si="11" xml:space="preserve"> J9 / $D$2</f>
        <v>23.8732414637843</v>
      </c>
      <c r="T9" s="76">
        <f t="shared" ref="T9:T35" si="12" xml:space="preserve"> ROUNDUP((1 / $B$2) * 60 / G9, 3)</f>
        <v>1.3999999999999999E-2</v>
      </c>
      <c r="U9" s="57">
        <f t="shared" ref="U9:U35" si="13" xml:space="preserve"> ROUNDUP((1 / $B$2) * 60 / H9, 3)</f>
        <v>2.7E-2</v>
      </c>
      <c r="V9" s="76">
        <f t="shared" ref="V9:V35" si="14" xml:space="preserve"> ROUNDUP((1 / $B$2) * 60 / I9, 3)</f>
        <v>0.02</v>
      </c>
    </row>
    <row r="10" spans="1:22" s="8" customFormat="1" ht="28.8">
      <c r="A10" s="3"/>
      <c r="B10" s="3"/>
      <c r="C10" s="1"/>
      <c r="D10" s="1"/>
      <c r="E10" s="9" t="s">
        <v>25</v>
      </c>
      <c r="F10" s="72">
        <v>300</v>
      </c>
      <c r="G10" s="54">
        <f t="shared" si="2"/>
        <v>2291.8311805232929</v>
      </c>
      <c r="H10" s="52">
        <f t="shared" si="3"/>
        <v>1145.9155902616465</v>
      </c>
      <c r="I10" s="54">
        <f t="shared" si="4"/>
        <v>1512.6085791453734</v>
      </c>
      <c r="J10" s="73">
        <f t="shared" si="5"/>
        <v>572.95779513082323</v>
      </c>
      <c r="N10" s="56">
        <f t="shared" si="6"/>
        <v>18.334649444186343</v>
      </c>
      <c r="O10" s="55">
        <f t="shared" si="7"/>
        <v>4.5836623610465859</v>
      </c>
      <c r="P10" s="56">
        <f t="shared" si="8"/>
        <v>2.2918311805232929</v>
      </c>
      <c r="Q10" s="55">
        <f t="shared" si="9"/>
        <v>9.1673247220931717</v>
      </c>
      <c r="R10" s="56">
        <f t="shared" si="10"/>
        <v>12.100868633162987</v>
      </c>
      <c r="S10" s="75">
        <f t="shared" si="11"/>
        <v>23.8732414637843</v>
      </c>
      <c r="T10" s="76">
        <f t="shared" si="12"/>
        <v>1.3999999999999999E-2</v>
      </c>
      <c r="U10" s="57">
        <f t="shared" si="13"/>
        <v>2.7E-2</v>
      </c>
      <c r="V10" s="76">
        <f t="shared" si="14"/>
        <v>0.02</v>
      </c>
    </row>
    <row r="11" spans="1:22" s="8" customFormat="1" ht="28.8">
      <c r="A11" s="3"/>
      <c r="B11" s="3"/>
      <c r="C11" s="1"/>
      <c r="D11" s="1"/>
      <c r="E11" s="9" t="s">
        <v>26</v>
      </c>
      <c r="F11" s="72">
        <v>280</v>
      </c>
      <c r="G11" s="54">
        <f t="shared" si="2"/>
        <v>2139.0424351550737</v>
      </c>
      <c r="H11" s="52">
        <f t="shared" si="3"/>
        <v>1069.5212175775368</v>
      </c>
      <c r="I11" s="54">
        <f t="shared" si="4"/>
        <v>1411.7680072023486</v>
      </c>
      <c r="J11" s="73">
        <f t="shared" si="5"/>
        <v>534.76060878876842</v>
      </c>
      <c r="N11" s="56">
        <f t="shared" si="6"/>
        <v>17.112339481240589</v>
      </c>
      <c r="O11" s="55">
        <f t="shared" si="7"/>
        <v>4.2780848703101473</v>
      </c>
      <c r="P11" s="56">
        <f t="shared" si="8"/>
        <v>2.1390424351550736</v>
      </c>
      <c r="Q11" s="55">
        <f t="shared" si="9"/>
        <v>8.5561697406202946</v>
      </c>
      <c r="R11" s="56">
        <f t="shared" si="10"/>
        <v>11.294144057618789</v>
      </c>
      <c r="S11" s="75">
        <f t="shared" si="11"/>
        <v>22.281692032865351</v>
      </c>
      <c r="T11" s="76">
        <f t="shared" si="12"/>
        <v>1.4999999999999999E-2</v>
      </c>
      <c r="U11" s="57">
        <f t="shared" si="13"/>
        <v>2.9000000000000001E-2</v>
      </c>
      <c r="V11" s="76">
        <f t="shared" si="14"/>
        <v>2.2000000000000002E-2</v>
      </c>
    </row>
    <row r="12" spans="1:22" s="8" customFormat="1" ht="28.8">
      <c r="A12" s="3"/>
      <c r="B12" s="3"/>
      <c r="C12" s="1"/>
      <c r="D12" s="1"/>
      <c r="E12" s="9" t="s">
        <v>27</v>
      </c>
      <c r="F12" s="72">
        <v>260</v>
      </c>
      <c r="G12" s="54">
        <f t="shared" si="2"/>
        <v>1986.253689786854</v>
      </c>
      <c r="H12" s="52">
        <f t="shared" si="3"/>
        <v>993.12684489342701</v>
      </c>
      <c r="I12" s="54">
        <f t="shared" si="4"/>
        <v>1310.9274352593236</v>
      </c>
      <c r="J12" s="73">
        <f t="shared" si="5"/>
        <v>496.5634224467135</v>
      </c>
      <c r="N12" s="56">
        <f t="shared" si="6"/>
        <v>15.890029518294833</v>
      </c>
      <c r="O12" s="55">
        <f t="shared" si="7"/>
        <v>3.9725073795737083</v>
      </c>
      <c r="P12" s="56">
        <f t="shared" si="8"/>
        <v>1.9862536897868541</v>
      </c>
      <c r="Q12" s="55">
        <f t="shared" si="9"/>
        <v>7.9450147591474165</v>
      </c>
      <c r="R12" s="56">
        <f t="shared" si="10"/>
        <v>10.487419482074589</v>
      </c>
      <c r="S12" s="75">
        <f t="shared" si="11"/>
        <v>20.690142601946395</v>
      </c>
      <c r="T12" s="76">
        <f t="shared" si="12"/>
        <v>1.6E-2</v>
      </c>
      <c r="U12" s="57">
        <f t="shared" si="13"/>
        <v>3.1E-2</v>
      </c>
      <c r="V12" s="76">
        <f t="shared" si="14"/>
        <v>2.3E-2</v>
      </c>
    </row>
    <row r="13" spans="1:22" s="8" customFormat="1" ht="28.8">
      <c r="A13" s="3"/>
      <c r="B13" s="3"/>
      <c r="C13" s="1"/>
      <c r="D13" s="1"/>
      <c r="E13" s="9" t="s">
        <v>28</v>
      </c>
      <c r="F13" s="72">
        <v>190</v>
      </c>
      <c r="G13" s="54">
        <f t="shared" si="2"/>
        <v>1451.4930809980856</v>
      </c>
      <c r="H13" s="52">
        <f t="shared" si="3"/>
        <v>725.74654049904279</v>
      </c>
      <c r="I13" s="54">
        <f t="shared" si="4"/>
        <v>957.98543345873657</v>
      </c>
      <c r="J13" s="73">
        <f t="shared" si="5"/>
        <v>362.8732702495214</v>
      </c>
      <c r="N13" s="56">
        <f t="shared" si="6"/>
        <v>11.611944647984686</v>
      </c>
      <c r="O13" s="55">
        <f t="shared" si="7"/>
        <v>2.9029861619961714</v>
      </c>
      <c r="P13" s="56">
        <f t="shared" si="8"/>
        <v>1.4514930809980857</v>
      </c>
      <c r="Q13" s="55">
        <f t="shared" si="9"/>
        <v>5.8059723239923429</v>
      </c>
      <c r="R13" s="56">
        <f t="shared" si="10"/>
        <v>7.6638834676698924</v>
      </c>
      <c r="S13" s="75">
        <f t="shared" si="11"/>
        <v>15.119719593730059</v>
      </c>
      <c r="T13" s="76">
        <f t="shared" si="12"/>
        <v>2.1000000000000001E-2</v>
      </c>
      <c r="U13" s="57">
        <f t="shared" si="13"/>
        <v>4.2000000000000003E-2</v>
      </c>
      <c r="V13" s="76">
        <f t="shared" si="14"/>
        <v>3.2000000000000001E-2</v>
      </c>
    </row>
    <row r="14" spans="1:22" s="8" customFormat="1" ht="28.8">
      <c r="A14" s="3"/>
      <c r="B14" s="3"/>
      <c r="C14" s="1"/>
      <c r="D14" s="1"/>
      <c r="E14" s="9" t="s">
        <v>29</v>
      </c>
      <c r="F14" s="72">
        <v>400</v>
      </c>
      <c r="G14" s="54">
        <f t="shared" si="2"/>
        <v>3055.7749073643909</v>
      </c>
      <c r="H14" s="52">
        <f t="shared" si="3"/>
        <v>1527.8874536821954</v>
      </c>
      <c r="I14" s="54">
        <f t="shared" si="4"/>
        <v>2016.8114388604981</v>
      </c>
      <c r="J14" s="73">
        <f t="shared" si="5"/>
        <v>763.94372684109771</v>
      </c>
      <c r="N14" s="56">
        <f t="shared" si="6"/>
        <v>24.446199258915126</v>
      </c>
      <c r="O14" s="55">
        <f t="shared" si="7"/>
        <v>6.1115498147287814</v>
      </c>
      <c r="P14" s="56">
        <f t="shared" si="8"/>
        <v>3.0557749073643907</v>
      </c>
      <c r="Q14" s="55">
        <f t="shared" si="9"/>
        <v>12.223099629457563</v>
      </c>
      <c r="R14" s="56">
        <f t="shared" si="10"/>
        <v>16.134491510883986</v>
      </c>
      <c r="S14" s="75">
        <f t="shared" si="11"/>
        <v>31.83098861837907</v>
      </c>
      <c r="T14" s="76">
        <f t="shared" si="12"/>
        <v>9.9999999999999985E-3</v>
      </c>
      <c r="U14" s="57">
        <f t="shared" si="13"/>
        <v>0.02</v>
      </c>
      <c r="V14" s="76">
        <f t="shared" si="14"/>
        <v>1.4999999999999999E-2</v>
      </c>
    </row>
    <row r="15" spans="1:22" s="8" customFormat="1">
      <c r="A15" s="3"/>
      <c r="B15" s="3"/>
      <c r="C15" s="1"/>
      <c r="D15" s="1"/>
      <c r="E15" s="9" t="s">
        <v>30</v>
      </c>
      <c r="F15" s="72">
        <v>400</v>
      </c>
      <c r="G15" s="54">
        <f t="shared" si="2"/>
        <v>3055.7749073643909</v>
      </c>
      <c r="H15" s="52">
        <f t="shared" si="3"/>
        <v>1527.8874536821954</v>
      </c>
      <c r="I15" s="54">
        <f t="shared" si="4"/>
        <v>2016.8114388604981</v>
      </c>
      <c r="J15" s="73">
        <f t="shared" si="5"/>
        <v>763.94372684109771</v>
      </c>
      <c r="N15" s="56">
        <f t="shared" si="6"/>
        <v>24.446199258915126</v>
      </c>
      <c r="O15" s="55">
        <f t="shared" si="7"/>
        <v>6.1115498147287814</v>
      </c>
      <c r="P15" s="56">
        <f t="shared" si="8"/>
        <v>3.0557749073643907</v>
      </c>
      <c r="Q15" s="55">
        <f t="shared" si="9"/>
        <v>12.223099629457563</v>
      </c>
      <c r="R15" s="56">
        <f t="shared" si="10"/>
        <v>16.134491510883986</v>
      </c>
      <c r="S15" s="75">
        <f t="shared" si="11"/>
        <v>31.83098861837907</v>
      </c>
      <c r="T15" s="76">
        <f t="shared" si="12"/>
        <v>9.9999999999999985E-3</v>
      </c>
      <c r="U15" s="57">
        <f t="shared" si="13"/>
        <v>0.02</v>
      </c>
      <c r="V15" s="76">
        <f t="shared" si="14"/>
        <v>1.4999999999999999E-2</v>
      </c>
    </row>
    <row r="16" spans="1:22" s="8" customFormat="1">
      <c r="A16" s="3"/>
      <c r="B16" s="3"/>
      <c r="C16" s="1"/>
      <c r="D16" s="1"/>
      <c r="E16" s="9" t="s">
        <v>31</v>
      </c>
      <c r="F16" s="72">
        <v>320</v>
      </c>
      <c r="G16" s="54">
        <f t="shared" si="2"/>
        <v>2444.6199258915126</v>
      </c>
      <c r="H16" s="52">
        <f t="shared" si="3"/>
        <v>1222.3099629457563</v>
      </c>
      <c r="I16" s="54">
        <f t="shared" si="4"/>
        <v>1613.4491510883984</v>
      </c>
      <c r="J16" s="73">
        <f t="shared" si="5"/>
        <v>611.15498147287815</v>
      </c>
      <c r="N16" s="56">
        <f t="shared" si="6"/>
        <v>19.556959407132101</v>
      </c>
      <c r="O16" s="55">
        <f t="shared" si="7"/>
        <v>4.8892398517830253</v>
      </c>
      <c r="P16" s="56">
        <f t="shared" si="8"/>
        <v>2.4446199258915127</v>
      </c>
      <c r="Q16" s="55">
        <f t="shared" si="9"/>
        <v>9.7784797035660507</v>
      </c>
      <c r="R16" s="56">
        <f t="shared" si="10"/>
        <v>12.907593208707187</v>
      </c>
      <c r="S16" s="75">
        <f t="shared" si="11"/>
        <v>25.464790894703256</v>
      </c>
      <c r="T16" s="76">
        <f t="shared" si="12"/>
        <v>1.3000000000000001E-2</v>
      </c>
      <c r="U16" s="57">
        <f t="shared" si="13"/>
        <v>2.5000000000000001E-2</v>
      </c>
      <c r="V16" s="76">
        <f t="shared" si="14"/>
        <v>1.9E-2</v>
      </c>
    </row>
    <row r="17" spans="1:22" s="8" customFormat="1">
      <c r="A17" s="3"/>
      <c r="B17" s="3"/>
      <c r="C17" s="1"/>
      <c r="D17" s="1"/>
      <c r="E17" s="9" t="s">
        <v>32</v>
      </c>
      <c r="F17" s="72">
        <v>90</v>
      </c>
      <c r="G17" s="54">
        <f t="shared" si="2"/>
        <v>687.54935415698787</v>
      </c>
      <c r="H17" s="52">
        <f t="shared" si="3"/>
        <v>343.77467707849394</v>
      </c>
      <c r="I17" s="54">
        <f t="shared" si="4"/>
        <v>453.78257374361203</v>
      </c>
      <c r="J17" s="73">
        <f t="shared" si="5"/>
        <v>171.88733853924697</v>
      </c>
      <c r="N17" s="56">
        <f t="shared" si="6"/>
        <v>5.5003948332559034</v>
      </c>
      <c r="O17" s="55">
        <f t="shared" si="7"/>
        <v>1.3750987083139758</v>
      </c>
      <c r="P17" s="56">
        <f t="shared" si="8"/>
        <v>0.68754935415698792</v>
      </c>
      <c r="Q17" s="55">
        <f t="shared" si="9"/>
        <v>2.7501974166279517</v>
      </c>
      <c r="R17" s="56">
        <f t="shared" si="10"/>
        <v>3.6302605899488962</v>
      </c>
      <c r="S17" s="75">
        <f t="shared" si="11"/>
        <v>7.1619724391352904</v>
      </c>
      <c r="T17" s="76">
        <f t="shared" si="12"/>
        <v>4.3999999999999997E-2</v>
      </c>
      <c r="U17" s="57">
        <f t="shared" si="13"/>
        <v>8.7999999999999995E-2</v>
      </c>
      <c r="V17" s="76">
        <f t="shared" si="14"/>
        <v>6.7000000000000004E-2</v>
      </c>
    </row>
    <row r="18" spans="1:22" s="8" customFormat="1" ht="28.8">
      <c r="A18" s="3"/>
      <c r="B18" s="3"/>
      <c r="C18" s="1"/>
      <c r="D18" s="1"/>
      <c r="E18" s="9" t="s">
        <v>33</v>
      </c>
      <c r="F18" s="72">
        <v>200</v>
      </c>
      <c r="G18" s="54">
        <f t="shared" si="2"/>
        <v>1527.8874536821954</v>
      </c>
      <c r="H18" s="52">
        <f t="shared" si="3"/>
        <v>763.94372684109771</v>
      </c>
      <c r="I18" s="54">
        <f t="shared" si="4"/>
        <v>1008.4057194302491</v>
      </c>
      <c r="J18" s="73">
        <f t="shared" si="5"/>
        <v>381.97186342054886</v>
      </c>
      <c r="N18" s="56">
        <f t="shared" si="6"/>
        <v>12.223099629457563</v>
      </c>
      <c r="O18" s="55">
        <f t="shared" si="7"/>
        <v>3.0557749073643907</v>
      </c>
      <c r="P18" s="56">
        <f t="shared" si="8"/>
        <v>1.5278874536821954</v>
      </c>
      <c r="Q18" s="55">
        <f t="shared" si="9"/>
        <v>6.1115498147287814</v>
      </c>
      <c r="R18" s="56">
        <f t="shared" si="10"/>
        <v>8.0672457554419932</v>
      </c>
      <c r="S18" s="75">
        <f t="shared" si="11"/>
        <v>15.915494309189535</v>
      </c>
      <c r="T18" s="76">
        <f t="shared" si="12"/>
        <v>0.02</v>
      </c>
      <c r="U18" s="57">
        <f t="shared" si="13"/>
        <v>0.04</v>
      </c>
      <c r="V18" s="76">
        <f t="shared" si="14"/>
        <v>3.0000000000000002E-2</v>
      </c>
    </row>
    <row r="19" spans="1:22" s="8" customFormat="1" ht="28.8">
      <c r="A19" s="3"/>
      <c r="B19" s="3"/>
      <c r="C19" s="1"/>
      <c r="D19" s="1"/>
      <c r="E19" s="9" t="s">
        <v>34</v>
      </c>
      <c r="F19" s="72">
        <v>90</v>
      </c>
      <c r="G19" s="54">
        <f t="shared" si="2"/>
        <v>687.54935415698787</v>
      </c>
      <c r="H19" s="52">
        <f t="shared" si="3"/>
        <v>343.77467707849394</v>
      </c>
      <c r="I19" s="54">
        <f t="shared" si="4"/>
        <v>453.78257374361203</v>
      </c>
      <c r="J19" s="73">
        <f t="shared" si="5"/>
        <v>171.88733853924697</v>
      </c>
      <c r="N19" s="56">
        <f t="shared" si="6"/>
        <v>5.5003948332559034</v>
      </c>
      <c r="O19" s="55">
        <f t="shared" si="7"/>
        <v>1.3750987083139758</v>
      </c>
      <c r="P19" s="56">
        <f t="shared" si="8"/>
        <v>0.68754935415698792</v>
      </c>
      <c r="Q19" s="55">
        <f t="shared" si="9"/>
        <v>2.7501974166279517</v>
      </c>
      <c r="R19" s="56">
        <f t="shared" si="10"/>
        <v>3.6302605899488962</v>
      </c>
      <c r="S19" s="75">
        <f t="shared" si="11"/>
        <v>7.1619724391352904</v>
      </c>
      <c r="T19" s="76">
        <f t="shared" si="12"/>
        <v>4.3999999999999997E-2</v>
      </c>
      <c r="U19" s="57">
        <f t="shared" si="13"/>
        <v>8.7999999999999995E-2</v>
      </c>
      <c r="V19" s="76">
        <f t="shared" si="14"/>
        <v>6.7000000000000004E-2</v>
      </c>
    </row>
    <row r="20" spans="1:22" s="8" customFormat="1" ht="28.8">
      <c r="A20" s="3"/>
      <c r="B20" s="3"/>
      <c r="C20" s="1"/>
      <c r="D20" s="1"/>
      <c r="E20" s="9" t="s">
        <v>35</v>
      </c>
      <c r="F20" s="72">
        <v>200</v>
      </c>
      <c r="G20" s="54">
        <f t="shared" si="2"/>
        <v>1527.8874536821954</v>
      </c>
      <c r="H20" s="52">
        <f t="shared" si="3"/>
        <v>763.94372684109771</v>
      </c>
      <c r="I20" s="54">
        <f t="shared" si="4"/>
        <v>1008.4057194302491</v>
      </c>
      <c r="J20" s="73">
        <f t="shared" si="5"/>
        <v>381.97186342054886</v>
      </c>
      <c r="N20" s="56">
        <f t="shared" si="6"/>
        <v>12.223099629457563</v>
      </c>
      <c r="O20" s="55">
        <f t="shared" si="7"/>
        <v>3.0557749073643907</v>
      </c>
      <c r="P20" s="56">
        <f t="shared" si="8"/>
        <v>1.5278874536821954</v>
      </c>
      <c r="Q20" s="55">
        <f t="shared" si="9"/>
        <v>6.1115498147287814</v>
      </c>
      <c r="R20" s="56">
        <f t="shared" si="10"/>
        <v>8.0672457554419932</v>
      </c>
      <c r="S20" s="75">
        <f t="shared" si="11"/>
        <v>15.915494309189535</v>
      </c>
      <c r="T20" s="76">
        <f t="shared" si="12"/>
        <v>0.02</v>
      </c>
      <c r="U20" s="57">
        <f t="shared" si="13"/>
        <v>0.04</v>
      </c>
      <c r="V20" s="76">
        <f t="shared" si="14"/>
        <v>3.0000000000000002E-2</v>
      </c>
    </row>
    <row r="21" spans="1:22" s="8" customFormat="1" ht="28.8">
      <c r="A21" s="3"/>
      <c r="B21" s="3"/>
      <c r="C21" s="1"/>
      <c r="D21" s="1"/>
      <c r="E21" s="9" t="s">
        <v>36</v>
      </c>
      <c r="F21" s="72">
        <v>200</v>
      </c>
      <c r="G21" s="54">
        <f t="shared" si="2"/>
        <v>1527.8874536821954</v>
      </c>
      <c r="H21" s="52">
        <f t="shared" si="3"/>
        <v>763.94372684109771</v>
      </c>
      <c r="I21" s="54">
        <f t="shared" si="4"/>
        <v>1008.4057194302491</v>
      </c>
      <c r="J21" s="73">
        <f t="shared" si="5"/>
        <v>381.97186342054886</v>
      </c>
      <c r="N21" s="56">
        <f t="shared" si="6"/>
        <v>12.223099629457563</v>
      </c>
      <c r="O21" s="55">
        <f t="shared" si="7"/>
        <v>3.0557749073643907</v>
      </c>
      <c r="P21" s="56">
        <f t="shared" si="8"/>
        <v>1.5278874536821954</v>
      </c>
      <c r="Q21" s="55">
        <f t="shared" si="9"/>
        <v>6.1115498147287814</v>
      </c>
      <c r="R21" s="56">
        <f t="shared" si="10"/>
        <v>8.0672457554419932</v>
      </c>
      <c r="S21" s="75">
        <f t="shared" si="11"/>
        <v>15.915494309189535</v>
      </c>
      <c r="T21" s="76">
        <f t="shared" si="12"/>
        <v>0.02</v>
      </c>
      <c r="U21" s="57">
        <f t="shared" si="13"/>
        <v>0.04</v>
      </c>
      <c r="V21" s="76">
        <f t="shared" si="14"/>
        <v>3.0000000000000002E-2</v>
      </c>
    </row>
    <row r="22" spans="1:22" s="8" customFormat="1" ht="28.8">
      <c r="A22" s="3"/>
      <c r="B22" s="3"/>
      <c r="C22" s="1"/>
      <c r="D22" s="1"/>
      <c r="E22" s="9" t="s">
        <v>37</v>
      </c>
      <c r="F22" s="72">
        <v>90</v>
      </c>
      <c r="G22" s="54">
        <f t="shared" si="2"/>
        <v>687.54935415698787</v>
      </c>
      <c r="H22" s="52">
        <f t="shared" si="3"/>
        <v>343.77467707849394</v>
      </c>
      <c r="I22" s="54">
        <f t="shared" si="4"/>
        <v>453.78257374361203</v>
      </c>
      <c r="J22" s="73">
        <f t="shared" si="5"/>
        <v>171.88733853924697</v>
      </c>
      <c r="N22" s="56">
        <f t="shared" si="6"/>
        <v>5.5003948332559034</v>
      </c>
      <c r="O22" s="55">
        <f t="shared" si="7"/>
        <v>1.3750987083139758</v>
      </c>
      <c r="P22" s="56">
        <f t="shared" si="8"/>
        <v>0.68754935415698792</v>
      </c>
      <c r="Q22" s="55">
        <f t="shared" si="9"/>
        <v>2.7501974166279517</v>
      </c>
      <c r="R22" s="56">
        <f t="shared" si="10"/>
        <v>3.6302605899488962</v>
      </c>
      <c r="S22" s="75">
        <f t="shared" si="11"/>
        <v>7.1619724391352904</v>
      </c>
      <c r="T22" s="76">
        <f t="shared" si="12"/>
        <v>4.3999999999999997E-2</v>
      </c>
      <c r="U22" s="57">
        <f t="shared" si="13"/>
        <v>8.7999999999999995E-2</v>
      </c>
      <c r="V22" s="76">
        <f t="shared" si="14"/>
        <v>6.7000000000000004E-2</v>
      </c>
    </row>
    <row r="23" spans="1:22" s="8" customFormat="1" ht="43.2">
      <c r="A23" s="3"/>
      <c r="B23" s="3"/>
      <c r="C23" s="1"/>
      <c r="D23" s="1"/>
      <c r="E23" s="9" t="s">
        <v>38</v>
      </c>
      <c r="F23" s="72">
        <v>220</v>
      </c>
      <c r="G23" s="54">
        <f t="shared" si="2"/>
        <v>1680.6761990504149</v>
      </c>
      <c r="H23" s="52">
        <f t="shared" si="3"/>
        <v>840.33809952520744</v>
      </c>
      <c r="I23" s="54">
        <f t="shared" si="4"/>
        <v>1109.2462913732738</v>
      </c>
      <c r="J23" s="73">
        <f t="shared" si="5"/>
        <v>420.16904976260372</v>
      </c>
      <c r="N23" s="56">
        <f t="shared" si="6"/>
        <v>13.445409592403319</v>
      </c>
      <c r="O23" s="55">
        <f t="shared" si="7"/>
        <v>3.3613523981008298</v>
      </c>
      <c r="P23" s="56">
        <f t="shared" si="8"/>
        <v>1.6806761990504149</v>
      </c>
      <c r="Q23" s="55">
        <f t="shared" si="9"/>
        <v>6.7227047962016595</v>
      </c>
      <c r="R23" s="56">
        <f t="shared" si="10"/>
        <v>8.8739703309861913</v>
      </c>
      <c r="S23" s="75">
        <f t="shared" si="11"/>
        <v>17.50704374010849</v>
      </c>
      <c r="T23" s="76">
        <f t="shared" si="12"/>
        <v>1.8000000000000002E-2</v>
      </c>
      <c r="U23" s="57">
        <f t="shared" si="13"/>
        <v>3.6000000000000004E-2</v>
      </c>
      <c r="V23" s="76">
        <f t="shared" si="14"/>
        <v>2.8000000000000001E-2</v>
      </c>
    </row>
    <row r="24" spans="1:22" s="8" customFormat="1">
      <c r="A24" s="3"/>
      <c r="B24" s="3"/>
      <c r="C24" s="1"/>
      <c r="D24" s="1"/>
      <c r="E24" s="9" t="s">
        <v>39</v>
      </c>
      <c r="F24" s="72">
        <v>600</v>
      </c>
      <c r="G24" s="54">
        <f t="shared" si="2"/>
        <v>4583.6623610465858</v>
      </c>
      <c r="H24" s="52">
        <f t="shared" si="3"/>
        <v>2291.8311805232929</v>
      </c>
      <c r="I24" s="54">
        <f t="shared" si="4"/>
        <v>3025.2171582907467</v>
      </c>
      <c r="J24" s="73">
        <f t="shared" si="5"/>
        <v>1145.9155902616465</v>
      </c>
      <c r="N24" s="56">
        <f t="shared" si="6"/>
        <v>36.669298888372687</v>
      </c>
      <c r="O24" s="55">
        <f t="shared" si="7"/>
        <v>9.1673247220931717</v>
      </c>
      <c r="P24" s="56">
        <f t="shared" si="8"/>
        <v>4.5836623610465859</v>
      </c>
      <c r="Q24" s="55">
        <f t="shared" si="9"/>
        <v>18.334649444186343</v>
      </c>
      <c r="R24" s="56">
        <f t="shared" si="10"/>
        <v>24.201737266325974</v>
      </c>
      <c r="S24" s="75">
        <f t="shared" si="11"/>
        <v>47.7464829275686</v>
      </c>
      <c r="T24" s="76">
        <f t="shared" si="12"/>
        <v>7.0000000000000001E-3</v>
      </c>
      <c r="U24" s="57">
        <f t="shared" si="13"/>
        <v>1.3999999999999999E-2</v>
      </c>
      <c r="V24" s="76">
        <f t="shared" si="14"/>
        <v>9.9999999999999985E-3</v>
      </c>
    </row>
    <row r="25" spans="1:22" s="8" customFormat="1" ht="43.2">
      <c r="A25" s="3"/>
      <c r="B25" s="3"/>
      <c r="C25" s="1"/>
      <c r="D25" s="1"/>
      <c r="E25" s="9" t="s">
        <v>40</v>
      </c>
      <c r="F25" s="72">
        <v>240</v>
      </c>
      <c r="G25" s="54">
        <f t="shared" si="2"/>
        <v>1833.4649444186346</v>
      </c>
      <c r="H25" s="52">
        <f t="shared" si="3"/>
        <v>916.73247220931728</v>
      </c>
      <c r="I25" s="54">
        <f t="shared" si="4"/>
        <v>1210.0868633162988</v>
      </c>
      <c r="J25" s="73">
        <f t="shared" si="5"/>
        <v>458.36623610465864</v>
      </c>
      <c r="N25" s="56">
        <f t="shared" si="6"/>
        <v>14.667719555349077</v>
      </c>
      <c r="O25" s="55">
        <f t="shared" si="7"/>
        <v>3.6669298888372692</v>
      </c>
      <c r="P25" s="56">
        <f t="shared" si="8"/>
        <v>1.8334649444186346</v>
      </c>
      <c r="Q25" s="55">
        <f t="shared" si="9"/>
        <v>7.3338597776745384</v>
      </c>
      <c r="R25" s="56">
        <f t="shared" si="10"/>
        <v>9.6806949065303911</v>
      </c>
      <c r="S25" s="75">
        <f t="shared" si="11"/>
        <v>19.098593171027442</v>
      </c>
      <c r="T25" s="76">
        <f t="shared" si="12"/>
        <v>1.7000000000000001E-2</v>
      </c>
      <c r="U25" s="57">
        <f t="shared" si="13"/>
        <v>3.3000000000000002E-2</v>
      </c>
      <c r="V25" s="76">
        <f t="shared" si="14"/>
        <v>2.5000000000000001E-2</v>
      </c>
    </row>
    <row r="26" spans="1:22" s="8" customFormat="1" ht="57.6">
      <c r="A26" s="3"/>
      <c r="B26" s="3"/>
      <c r="C26" s="1"/>
      <c r="D26" s="1"/>
      <c r="E26" s="9" t="s">
        <v>41</v>
      </c>
      <c r="F26" s="72">
        <v>80</v>
      </c>
      <c r="G26" s="54">
        <f t="shared" si="2"/>
        <v>611.15498147287815</v>
      </c>
      <c r="H26" s="52">
        <f t="shared" si="3"/>
        <v>305.57749073643907</v>
      </c>
      <c r="I26" s="54">
        <f t="shared" si="4"/>
        <v>403.36228777209959</v>
      </c>
      <c r="J26" s="73">
        <f t="shared" si="5"/>
        <v>152.78874536821954</v>
      </c>
      <c r="N26" s="56">
        <f t="shared" si="6"/>
        <v>4.8892398517830253</v>
      </c>
      <c r="O26" s="55">
        <f t="shared" si="7"/>
        <v>1.2223099629457563</v>
      </c>
      <c r="P26" s="56">
        <f t="shared" si="8"/>
        <v>0.61115498147287817</v>
      </c>
      <c r="Q26" s="55">
        <f t="shared" si="9"/>
        <v>2.4446199258915127</v>
      </c>
      <c r="R26" s="56">
        <f t="shared" si="10"/>
        <v>3.2268983021767967</v>
      </c>
      <c r="S26" s="75">
        <f t="shared" si="11"/>
        <v>6.366197723675814</v>
      </c>
      <c r="T26" s="76">
        <f t="shared" si="12"/>
        <v>0.05</v>
      </c>
      <c r="U26" s="57">
        <f t="shared" si="13"/>
        <v>9.9000000000000005E-2</v>
      </c>
      <c r="V26" s="76">
        <f t="shared" si="14"/>
        <v>7.4999999999999997E-2</v>
      </c>
    </row>
    <row r="27" spans="1:22" s="8" customFormat="1" ht="43.2">
      <c r="A27" s="3"/>
      <c r="B27" s="3"/>
      <c r="C27" s="1"/>
      <c r="D27" s="1"/>
      <c r="E27" s="9" t="s">
        <v>42</v>
      </c>
      <c r="F27" s="72">
        <v>180</v>
      </c>
      <c r="G27" s="54">
        <f t="shared" si="2"/>
        <v>1375.0987083139757</v>
      </c>
      <c r="H27" s="52">
        <f t="shared" si="3"/>
        <v>687.54935415698787</v>
      </c>
      <c r="I27" s="54">
        <f t="shared" si="4"/>
        <v>907.56514748722407</v>
      </c>
      <c r="J27" s="73">
        <f t="shared" si="5"/>
        <v>343.77467707849394</v>
      </c>
      <c r="N27" s="56">
        <f t="shared" si="6"/>
        <v>11.000789666511807</v>
      </c>
      <c r="O27" s="55">
        <f t="shared" si="7"/>
        <v>2.7501974166279517</v>
      </c>
      <c r="P27" s="56">
        <f t="shared" si="8"/>
        <v>1.3750987083139758</v>
      </c>
      <c r="Q27" s="55">
        <f t="shared" si="9"/>
        <v>5.5003948332559034</v>
      </c>
      <c r="R27" s="56">
        <f t="shared" si="10"/>
        <v>7.2605211798977924</v>
      </c>
      <c r="S27" s="75">
        <f t="shared" si="11"/>
        <v>14.323944878270581</v>
      </c>
      <c r="T27" s="76">
        <f t="shared" si="12"/>
        <v>2.2000000000000002E-2</v>
      </c>
      <c r="U27" s="57">
        <f t="shared" si="13"/>
        <v>4.3999999999999997E-2</v>
      </c>
      <c r="V27" s="76">
        <f t="shared" si="14"/>
        <v>3.4000000000000002E-2</v>
      </c>
    </row>
    <row r="28" spans="1:22" s="8" customFormat="1" ht="57.6">
      <c r="A28" s="3"/>
      <c r="B28" s="3"/>
      <c r="C28" s="1"/>
      <c r="D28" s="1"/>
      <c r="E28" s="9" t="s">
        <v>43</v>
      </c>
      <c r="F28" s="72">
        <v>80</v>
      </c>
      <c r="G28" s="54">
        <f t="shared" si="2"/>
        <v>611.15498147287815</v>
      </c>
      <c r="H28" s="52">
        <f t="shared" si="3"/>
        <v>305.57749073643907</v>
      </c>
      <c r="I28" s="54">
        <f t="shared" si="4"/>
        <v>403.36228777209959</v>
      </c>
      <c r="J28" s="73">
        <f t="shared" si="5"/>
        <v>152.78874536821954</v>
      </c>
      <c r="N28" s="56">
        <f t="shared" si="6"/>
        <v>4.8892398517830253</v>
      </c>
      <c r="O28" s="55">
        <f t="shared" si="7"/>
        <v>1.2223099629457563</v>
      </c>
      <c r="P28" s="56">
        <f t="shared" si="8"/>
        <v>0.61115498147287817</v>
      </c>
      <c r="Q28" s="55">
        <f t="shared" si="9"/>
        <v>2.4446199258915127</v>
      </c>
      <c r="R28" s="56">
        <f t="shared" si="10"/>
        <v>3.2268983021767967</v>
      </c>
      <c r="S28" s="75">
        <f t="shared" si="11"/>
        <v>6.366197723675814</v>
      </c>
      <c r="T28" s="76">
        <f t="shared" si="12"/>
        <v>0.05</v>
      </c>
      <c r="U28" s="57">
        <f t="shared" si="13"/>
        <v>9.9000000000000005E-2</v>
      </c>
      <c r="V28" s="76">
        <f t="shared" si="14"/>
        <v>7.4999999999999997E-2</v>
      </c>
    </row>
    <row r="29" spans="1:22" s="8" customFormat="1" ht="28.8">
      <c r="A29" s="3"/>
      <c r="B29" s="3"/>
      <c r="C29" s="1"/>
      <c r="D29" s="1"/>
      <c r="E29" s="9" t="s">
        <v>44</v>
      </c>
      <c r="F29" s="72">
        <v>60</v>
      </c>
      <c r="G29" s="54">
        <f t="shared" si="2"/>
        <v>458.36623610465864</v>
      </c>
      <c r="H29" s="52">
        <f t="shared" si="3"/>
        <v>229.18311805232932</v>
      </c>
      <c r="I29" s="54">
        <f t="shared" si="4"/>
        <v>302.52171582907471</v>
      </c>
      <c r="J29" s="73">
        <f t="shared" si="5"/>
        <v>114.59155902616466</v>
      </c>
      <c r="N29" s="56">
        <f t="shared" si="6"/>
        <v>3.6669298888372692</v>
      </c>
      <c r="O29" s="55">
        <f t="shared" si="7"/>
        <v>0.91673247220931731</v>
      </c>
      <c r="P29" s="56">
        <f t="shared" si="8"/>
        <v>0.45836623610465865</v>
      </c>
      <c r="Q29" s="55">
        <f t="shared" si="9"/>
        <v>1.8334649444186346</v>
      </c>
      <c r="R29" s="56">
        <f t="shared" si="10"/>
        <v>2.4201737266325978</v>
      </c>
      <c r="S29" s="75">
        <f t="shared" si="11"/>
        <v>4.7746482927568605</v>
      </c>
      <c r="T29" s="76">
        <f t="shared" si="12"/>
        <v>6.6000000000000003E-2</v>
      </c>
      <c r="U29" s="57">
        <f t="shared" si="13"/>
        <v>0.13100000000000001</v>
      </c>
      <c r="V29" s="76">
        <f t="shared" si="14"/>
        <v>0.1</v>
      </c>
    </row>
    <row r="30" spans="1:22" s="8" customFormat="1">
      <c r="A30" s="3"/>
      <c r="B30" s="3"/>
      <c r="C30" s="1"/>
      <c r="D30" s="1"/>
      <c r="E30" s="9" t="s">
        <v>45</v>
      </c>
      <c r="F30" s="72">
        <v>80</v>
      </c>
      <c r="G30" s="54">
        <f t="shared" si="2"/>
        <v>611.15498147287815</v>
      </c>
      <c r="H30" s="52">
        <f t="shared" si="3"/>
        <v>305.57749073643907</v>
      </c>
      <c r="I30" s="54">
        <f t="shared" si="4"/>
        <v>403.36228777209959</v>
      </c>
      <c r="J30" s="73">
        <f t="shared" si="5"/>
        <v>152.78874536821954</v>
      </c>
      <c r="N30" s="56">
        <f t="shared" si="6"/>
        <v>4.8892398517830253</v>
      </c>
      <c r="O30" s="55">
        <f t="shared" si="7"/>
        <v>1.2223099629457563</v>
      </c>
      <c r="P30" s="56">
        <f t="shared" si="8"/>
        <v>0.61115498147287817</v>
      </c>
      <c r="Q30" s="55">
        <f t="shared" si="9"/>
        <v>2.4446199258915127</v>
      </c>
      <c r="R30" s="56">
        <f t="shared" si="10"/>
        <v>3.2268983021767967</v>
      </c>
      <c r="S30" s="75">
        <f t="shared" si="11"/>
        <v>6.366197723675814</v>
      </c>
      <c r="T30" s="76">
        <f t="shared" si="12"/>
        <v>0.05</v>
      </c>
      <c r="U30" s="57">
        <f t="shared" si="13"/>
        <v>9.9000000000000005E-2</v>
      </c>
      <c r="V30" s="76">
        <f t="shared" si="14"/>
        <v>7.4999999999999997E-2</v>
      </c>
    </row>
    <row r="31" spans="1:22" s="8" customFormat="1">
      <c r="A31" s="3"/>
      <c r="B31" s="3"/>
      <c r="C31" s="1"/>
      <c r="D31" s="1"/>
      <c r="E31" s="9" t="s">
        <v>46</v>
      </c>
      <c r="F31" s="72">
        <v>60</v>
      </c>
      <c r="G31" s="54">
        <f t="shared" si="2"/>
        <v>458.36623610465864</v>
      </c>
      <c r="H31" s="52">
        <f t="shared" si="3"/>
        <v>229.18311805232932</v>
      </c>
      <c r="I31" s="54">
        <f t="shared" si="4"/>
        <v>302.52171582907471</v>
      </c>
      <c r="J31" s="73">
        <f t="shared" si="5"/>
        <v>114.59155902616466</v>
      </c>
      <c r="N31" s="56">
        <f t="shared" si="6"/>
        <v>3.6669298888372692</v>
      </c>
      <c r="O31" s="55">
        <f t="shared" si="7"/>
        <v>0.91673247220931731</v>
      </c>
      <c r="P31" s="56">
        <f t="shared" si="8"/>
        <v>0.45836623610465865</v>
      </c>
      <c r="Q31" s="55">
        <f t="shared" si="9"/>
        <v>1.8334649444186346</v>
      </c>
      <c r="R31" s="56">
        <f t="shared" si="10"/>
        <v>2.4201737266325978</v>
      </c>
      <c r="S31" s="75">
        <f t="shared" si="11"/>
        <v>4.7746482927568605</v>
      </c>
      <c r="T31" s="76">
        <f t="shared" si="12"/>
        <v>6.6000000000000003E-2</v>
      </c>
      <c r="U31" s="57">
        <f t="shared" si="13"/>
        <v>0.13100000000000001</v>
      </c>
      <c r="V31" s="76">
        <f t="shared" si="14"/>
        <v>0.1</v>
      </c>
    </row>
    <row r="32" spans="1:22" s="8" customFormat="1">
      <c r="A32" s="3"/>
      <c r="B32" s="3"/>
      <c r="C32" s="1"/>
      <c r="D32" s="1"/>
      <c r="E32" s="9" t="s">
        <v>47</v>
      </c>
      <c r="F32" s="72">
        <v>60</v>
      </c>
      <c r="G32" s="54">
        <f t="shared" si="2"/>
        <v>458.36623610465864</v>
      </c>
      <c r="H32" s="52">
        <f t="shared" si="3"/>
        <v>229.18311805232932</v>
      </c>
      <c r="I32" s="54">
        <f t="shared" si="4"/>
        <v>302.52171582907471</v>
      </c>
      <c r="J32" s="73">
        <f t="shared" si="5"/>
        <v>114.59155902616466</v>
      </c>
      <c r="N32" s="56">
        <f t="shared" si="6"/>
        <v>3.6669298888372692</v>
      </c>
      <c r="O32" s="55">
        <f t="shared" si="7"/>
        <v>0.91673247220931731</v>
      </c>
      <c r="P32" s="56">
        <f t="shared" si="8"/>
        <v>0.45836623610465865</v>
      </c>
      <c r="Q32" s="55">
        <f t="shared" si="9"/>
        <v>1.8334649444186346</v>
      </c>
      <c r="R32" s="56">
        <f t="shared" si="10"/>
        <v>2.4201737266325978</v>
      </c>
      <c r="S32" s="75">
        <f t="shared" si="11"/>
        <v>4.7746482927568605</v>
      </c>
      <c r="T32" s="76">
        <f t="shared" si="12"/>
        <v>6.6000000000000003E-2</v>
      </c>
      <c r="U32" s="57">
        <f t="shared" si="13"/>
        <v>0.13100000000000001</v>
      </c>
      <c r="V32" s="76">
        <f t="shared" si="14"/>
        <v>0.1</v>
      </c>
    </row>
    <row r="33" spans="1:22" s="8" customFormat="1">
      <c r="A33" s="3"/>
      <c r="B33" s="3"/>
      <c r="C33" s="1"/>
      <c r="D33" s="1"/>
      <c r="E33" s="9" t="s">
        <v>48</v>
      </c>
      <c r="F33" s="72">
        <v>320</v>
      </c>
      <c r="G33" s="54">
        <f t="shared" si="2"/>
        <v>2444.6199258915126</v>
      </c>
      <c r="H33" s="52">
        <f t="shared" si="3"/>
        <v>1222.3099629457563</v>
      </c>
      <c r="I33" s="54">
        <f t="shared" si="4"/>
        <v>1613.4491510883984</v>
      </c>
      <c r="J33" s="73">
        <f t="shared" si="5"/>
        <v>611.15498147287815</v>
      </c>
      <c r="N33" s="56">
        <f t="shared" si="6"/>
        <v>19.556959407132101</v>
      </c>
      <c r="O33" s="55">
        <f t="shared" si="7"/>
        <v>4.8892398517830253</v>
      </c>
      <c r="P33" s="56">
        <f t="shared" si="8"/>
        <v>2.4446199258915127</v>
      </c>
      <c r="Q33" s="55">
        <f t="shared" si="9"/>
        <v>9.7784797035660507</v>
      </c>
      <c r="R33" s="56">
        <f t="shared" si="10"/>
        <v>12.907593208707187</v>
      </c>
      <c r="S33" s="75">
        <f t="shared" si="11"/>
        <v>25.464790894703256</v>
      </c>
      <c r="T33" s="76">
        <f t="shared" si="12"/>
        <v>1.3000000000000001E-2</v>
      </c>
      <c r="U33" s="57">
        <f t="shared" si="13"/>
        <v>2.5000000000000001E-2</v>
      </c>
      <c r="V33" s="76">
        <f t="shared" si="14"/>
        <v>1.9E-2</v>
      </c>
    </row>
    <row r="34" spans="1:22" s="8" customFormat="1" ht="43.2">
      <c r="A34" s="3"/>
      <c r="B34" s="3"/>
      <c r="C34" s="3"/>
      <c r="D34" s="3"/>
      <c r="E34" s="9" t="s">
        <v>49</v>
      </c>
      <c r="F34" s="72">
        <v>30</v>
      </c>
      <c r="G34" s="54">
        <f t="shared" si="2"/>
        <v>229.18311805232932</v>
      </c>
      <c r="H34" s="52">
        <f t="shared" si="3"/>
        <v>114.59155902616466</v>
      </c>
      <c r="I34" s="54">
        <f t="shared" si="4"/>
        <v>151.26085791453735</v>
      </c>
      <c r="J34" s="73">
        <f t="shared" si="5"/>
        <v>57.29577951308233</v>
      </c>
      <c r="N34" s="56">
        <f t="shared" si="6"/>
        <v>1.8334649444186346</v>
      </c>
      <c r="O34" s="55">
        <f t="shared" si="7"/>
        <v>0.45836623610465865</v>
      </c>
      <c r="P34" s="56">
        <f t="shared" si="8"/>
        <v>0.22918311805232933</v>
      </c>
      <c r="Q34" s="55">
        <f t="shared" si="9"/>
        <v>0.91673247220931731</v>
      </c>
      <c r="R34" s="56">
        <f t="shared" si="10"/>
        <v>1.2100868633162989</v>
      </c>
      <c r="S34" s="75">
        <f t="shared" si="11"/>
        <v>2.3873241463784303</v>
      </c>
      <c r="T34" s="76">
        <f t="shared" si="12"/>
        <v>0.13100000000000001</v>
      </c>
      <c r="U34" s="57">
        <f t="shared" si="13"/>
        <v>0.26200000000000001</v>
      </c>
      <c r="V34" s="76">
        <f t="shared" si="14"/>
        <v>0.19900000000000001</v>
      </c>
    </row>
    <row r="35" spans="1:22">
      <c r="C35" s="3"/>
      <c r="D35" s="3"/>
      <c r="E35" s="2" t="s">
        <v>50</v>
      </c>
      <c r="F35" s="77">
        <v>800</v>
      </c>
      <c r="G35" s="78">
        <f t="shared" si="2"/>
        <v>6111.5498147287817</v>
      </c>
      <c r="H35" s="79">
        <f t="shared" si="3"/>
        <v>3055.7749073643909</v>
      </c>
      <c r="I35" s="78">
        <f t="shared" si="4"/>
        <v>4033.6228777209963</v>
      </c>
      <c r="J35" s="80">
        <f t="shared" si="5"/>
        <v>1527.8874536821954</v>
      </c>
      <c r="N35" s="81">
        <f t="shared" si="6"/>
        <v>48.892398517830252</v>
      </c>
      <c r="O35" s="82">
        <f t="shared" si="7"/>
        <v>12.223099629457563</v>
      </c>
      <c r="P35" s="81">
        <f t="shared" si="8"/>
        <v>6.1115498147287814</v>
      </c>
      <c r="Q35" s="82">
        <f t="shared" si="9"/>
        <v>24.446199258915126</v>
      </c>
      <c r="R35" s="81">
        <f t="shared" si="10"/>
        <v>32.268983021767973</v>
      </c>
      <c r="S35" s="83">
        <f t="shared" si="11"/>
        <v>63.66197723675814</v>
      </c>
      <c r="T35" s="84">
        <f t="shared" si="12"/>
        <v>5.0000000000000001E-3</v>
      </c>
      <c r="U35" s="85">
        <f t="shared" si="13"/>
        <v>9.9999999999999985E-3</v>
      </c>
      <c r="V35" s="84">
        <f t="shared" si="14"/>
        <v>8.0000000000000002E-3</v>
      </c>
    </row>
  </sheetData>
  <sheetProtection sheet="1" objects="1" scenarios="1"/>
  <mergeCells count="4">
    <mergeCell ref="G1:J1"/>
    <mergeCell ref="K1:M1"/>
    <mergeCell ref="N1:S1"/>
    <mergeCell ref="T1:V1"/>
  </mergeCells>
  <conditionalFormatting sqref="G2:I35">
    <cfRule type="expression" dxfId="6" priority="5">
      <formula>MOD(COLUMN(),2)=0</formula>
    </cfRule>
  </conditionalFormatting>
  <conditionalFormatting sqref="G2:I35">
    <cfRule type="expression" dxfId="5" priority="6">
      <formula>MOD(COLUMN(),2)=1</formula>
    </cfRule>
  </conditionalFormatting>
  <conditionalFormatting sqref="N2:P35">
    <cfRule type="expression" dxfId="4" priority="4">
      <formula>MOD(COLUMN(),2)=0</formula>
    </cfRule>
  </conditionalFormatting>
  <conditionalFormatting sqref="N2:P35">
    <cfRule type="expression" dxfId="3" priority="3">
      <formula>MOD(COLUMN(),2)=1</formula>
    </cfRule>
  </conditionalFormatting>
  <conditionalFormatting sqref="T2:V2 T3 U3 V3 T4 U4 V4 T5 U5 V5 T6 U6 V6 T7 U7 V7 T8 U8 V8 T9 U9 V9 T10 U10 V10 T11 U11 V11 T12 U12 V12 T13 U13 V13 T14 U14 V14 T15 U15 V15 T16 U16 V16 T17 U17 V17 T18 U18 V18 T19 U19 V19 T20 U20 V20 T21 U21 V21 T22 U22 V22 T23 U23 V23 T24 U24 V24 T25 U25 V25 T26 U26 V26 T27 U27 V27 T28 U28 V28 T29 U29 V29 T30 U30 V30 T31 U31 V31 T32 U32 V32 T33 U33 V33 T34 U34 V34 T35 U35 V35">
    <cfRule type="expression" dxfId="2" priority="2">
      <formula>MOD(COLUMN(),2)=0</formula>
    </cfRule>
  </conditionalFormatting>
  <conditionalFormatting sqref="T2:V2 T3 U3 V3 T4 U4 V4 T5 U5 V5 T6 U6 V6 T7 U7 V7 T8 U8 V8 T9 U9 V9 T10 U10 V10 T11 U11 V11 T12 U12 V12 T13 U13 V13 T14 U14 V14 T15 U15 V15 T16 U16 V16 T17 U17 V17 T18 U18 V18 T19 U19 V19 T20 U20 V20 T21 U21 V21 T22 U22 V22 T23 U23 V23 T24 U24 V24 T25 U25 V25 T26 U26 V26 T27 U27 V27 T28 U28 V28 T29 U29 V29 T30 U30 V30 T31 U31 V31 T32 U32 V32 T33 U33 V33 T34 U34 V34 T35 U35 V35">
    <cfRule type="expression" dxfId="1" priority="1">
      <formula>MOD(COLUMN(),2)=1</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H33"/>
  <sheetViews>
    <sheetView zoomScale="120" workbookViewId="0">
      <selection activeCell="A14" sqref="A14"/>
    </sheetView>
  </sheetViews>
  <sheetFormatPr defaultColWidth="9.33203125" defaultRowHeight="14.4"/>
  <cols>
    <col min="1" max="1" width="12.44140625" style="10" bestFit="1"/>
    <col min="2" max="2" width="15.33203125" style="10" bestFit="1"/>
    <col min="3" max="3" width="24.6640625" style="11" bestFit="1" customWidth="1"/>
    <col min="4" max="4" width="19.6640625" style="10" bestFit="1"/>
    <col min="5" max="5" width="9" style="10" bestFit="1"/>
    <col min="6" max="6" width="9.5546875" style="10" hidden="1" customWidth="1"/>
    <col min="7" max="7" width="10.33203125" style="10" bestFit="1" customWidth="1"/>
    <col min="8" max="16384" width="9.33203125" style="10"/>
  </cols>
  <sheetData>
    <row r="1" spans="1:8" s="12" customFormat="1">
      <c r="A1" s="12" t="s">
        <v>0</v>
      </c>
      <c r="B1" s="12" t="s">
        <v>3</v>
      </c>
      <c r="C1" s="13" t="s">
        <v>8</v>
      </c>
      <c r="D1" s="14" t="s">
        <v>9</v>
      </c>
      <c r="E1" s="12" t="s">
        <v>4</v>
      </c>
      <c r="F1" s="15" t="s">
        <v>5</v>
      </c>
      <c r="G1" s="15" t="s">
        <v>6</v>
      </c>
      <c r="H1" s="15"/>
    </row>
    <row r="2" spans="1:8" s="16" customFormat="1">
      <c r="A2" s="17">
        <v>0.1875</v>
      </c>
      <c r="B2" s="17">
        <v>24</v>
      </c>
      <c r="C2" s="18" t="s">
        <v>51</v>
      </c>
      <c r="D2" s="16">
        <v>60</v>
      </c>
      <c r="E2" s="19">
        <f t="shared" ref="E2:E23" si="0" xml:space="preserve"> D2 / (PI() / 12 * $A$2)</f>
        <v>1222.3099629457563</v>
      </c>
      <c r="F2" s="20">
        <f xml:space="preserve"> 1 / B2</f>
        <v>4.1666666666666664E-2</v>
      </c>
      <c r="G2" s="20">
        <f t="shared" ref="G2:G23" si="1" xml:space="preserve"> E2 / $B$2</f>
        <v>50.929581789406512</v>
      </c>
    </row>
    <row r="3" spans="1:8" s="16" customFormat="1">
      <c r="A3" s="10"/>
      <c r="B3" s="10"/>
      <c r="C3" s="18" t="s">
        <v>52</v>
      </c>
      <c r="D3" s="16">
        <v>70</v>
      </c>
      <c r="E3" s="19">
        <f t="shared" si="0"/>
        <v>1426.0282901033822</v>
      </c>
      <c r="G3" s="20">
        <f t="shared" si="1"/>
        <v>59.41784542097426</v>
      </c>
    </row>
    <row r="4" spans="1:8" s="16" customFormat="1">
      <c r="A4" s="10"/>
      <c r="B4" s="10"/>
      <c r="C4" s="18" t="s">
        <v>53</v>
      </c>
      <c r="D4" s="16">
        <v>80</v>
      </c>
      <c r="E4" s="19">
        <f t="shared" si="0"/>
        <v>1629.7466172610084</v>
      </c>
      <c r="G4" s="20">
        <f t="shared" si="1"/>
        <v>67.906109052542021</v>
      </c>
    </row>
    <row r="5" spans="1:8" s="16" customFormat="1">
      <c r="A5" s="10"/>
      <c r="B5" s="10"/>
      <c r="C5" s="18" t="s">
        <v>54</v>
      </c>
      <c r="D5" s="16">
        <f xml:space="preserve"> AVERAGE(60, 100)</f>
        <v>80</v>
      </c>
      <c r="E5" s="19">
        <f t="shared" si="0"/>
        <v>1629.7466172610084</v>
      </c>
      <c r="G5" s="20">
        <f t="shared" si="1"/>
        <v>67.906109052542021</v>
      </c>
    </row>
    <row r="6" spans="1:8" s="16" customFormat="1">
      <c r="A6" s="10"/>
      <c r="B6" s="10"/>
      <c r="C6" s="18" t="s">
        <v>55</v>
      </c>
      <c r="D6" s="16">
        <f xml:space="preserve"> AVERAGE(30, 40)</f>
        <v>35</v>
      </c>
      <c r="E6" s="19">
        <f t="shared" si="0"/>
        <v>713.01414505169112</v>
      </c>
      <c r="G6" s="20">
        <f t="shared" si="1"/>
        <v>29.70892271048713</v>
      </c>
    </row>
    <row r="7" spans="1:8" s="21" customFormat="1">
      <c r="A7" s="10"/>
      <c r="B7" s="10"/>
      <c r="C7" s="22" t="s">
        <v>56</v>
      </c>
      <c r="D7" s="21">
        <f xml:space="preserve"> AVERAGE(60, 80)</f>
        <v>70</v>
      </c>
      <c r="E7" s="19">
        <f t="shared" si="0"/>
        <v>1426.0282901033822</v>
      </c>
      <c r="G7" s="20">
        <f t="shared" si="1"/>
        <v>59.41784542097426</v>
      </c>
    </row>
    <row r="8" spans="1:8" s="21" customFormat="1">
      <c r="A8" s="10"/>
      <c r="B8" s="10"/>
      <c r="C8" s="22" t="s">
        <v>57</v>
      </c>
      <c r="D8" s="21">
        <f xml:space="preserve"> AVERAGE(50, 60)</f>
        <v>55</v>
      </c>
      <c r="E8" s="19">
        <f t="shared" si="0"/>
        <v>1120.4507993669431</v>
      </c>
      <c r="G8" s="20">
        <f t="shared" si="1"/>
        <v>46.685449973622632</v>
      </c>
    </row>
    <row r="9" spans="1:8" s="21" customFormat="1">
      <c r="A9" s="10"/>
      <c r="B9" s="10"/>
      <c r="C9" s="22" t="s">
        <v>58</v>
      </c>
      <c r="D9" s="21">
        <f xml:space="preserve"> AVERAGE(30, 60)</f>
        <v>45</v>
      </c>
      <c r="E9" s="19">
        <f t="shared" si="0"/>
        <v>916.73247220931717</v>
      </c>
      <c r="G9" s="20">
        <f t="shared" si="1"/>
        <v>38.197186342054884</v>
      </c>
    </row>
    <row r="10" spans="1:8" s="21" customFormat="1">
      <c r="A10" s="10"/>
      <c r="B10" s="10"/>
      <c r="C10" s="22" t="s">
        <v>59</v>
      </c>
      <c r="D10" s="21">
        <v>50</v>
      </c>
      <c r="E10" s="19">
        <f t="shared" si="0"/>
        <v>1018.5916357881301</v>
      </c>
      <c r="G10" s="20">
        <f t="shared" si="1"/>
        <v>42.441318157838758</v>
      </c>
    </row>
    <row r="11" spans="1:8" s="21" customFormat="1">
      <c r="A11" s="10"/>
      <c r="B11" s="10"/>
      <c r="C11" s="22" t="s">
        <v>60</v>
      </c>
      <c r="D11" s="21">
        <f xml:space="preserve"> AVERAGE(15, 30)</f>
        <v>22.5</v>
      </c>
      <c r="E11" s="19">
        <f t="shared" si="0"/>
        <v>458.36623610465858</v>
      </c>
      <c r="G11" s="23">
        <f t="shared" si="1"/>
        <v>19.098593171027442</v>
      </c>
    </row>
    <row r="12" spans="1:8" s="21" customFormat="1">
      <c r="A12" s="10"/>
      <c r="B12" s="10"/>
      <c r="C12" s="22" t="s">
        <v>61</v>
      </c>
      <c r="D12" s="21">
        <f xml:space="preserve"> AVERAGE(20, 40)</f>
        <v>30</v>
      </c>
      <c r="E12" s="19">
        <f t="shared" si="0"/>
        <v>611.15498147287815</v>
      </c>
      <c r="G12" s="23">
        <f t="shared" si="1"/>
        <v>25.464790894703256</v>
      </c>
    </row>
    <row r="13" spans="1:8" s="21" customFormat="1">
      <c r="A13" s="10"/>
      <c r="B13" s="10"/>
      <c r="C13" s="22" t="s">
        <v>62</v>
      </c>
      <c r="D13" s="21">
        <f xml:space="preserve"> AVERAGE(50, 70)</f>
        <v>60</v>
      </c>
      <c r="E13" s="19">
        <f t="shared" si="0"/>
        <v>1222.3099629457563</v>
      </c>
      <c r="G13" s="23">
        <f t="shared" si="1"/>
        <v>50.929581789406512</v>
      </c>
    </row>
    <row r="14" spans="1:8" s="21" customFormat="1">
      <c r="A14" s="10"/>
      <c r="B14" s="10"/>
      <c r="C14" s="22" t="s">
        <v>63</v>
      </c>
      <c r="D14" s="21">
        <v>10</v>
      </c>
      <c r="E14" s="19">
        <f t="shared" si="0"/>
        <v>203.71832715762605</v>
      </c>
      <c r="G14" s="23">
        <f t="shared" si="1"/>
        <v>8.4882636315677527</v>
      </c>
    </row>
    <row r="15" spans="1:8" s="21" customFormat="1">
      <c r="A15" s="10"/>
      <c r="B15" s="10"/>
      <c r="C15" s="22" t="s">
        <v>21</v>
      </c>
      <c r="D15" s="21">
        <f xml:space="preserve"> AVERAGE(10, 12)</f>
        <v>11</v>
      </c>
      <c r="E15" s="19">
        <f t="shared" si="0"/>
        <v>224.09015987338864</v>
      </c>
      <c r="G15" s="23">
        <f t="shared" si="1"/>
        <v>9.3370899947245274</v>
      </c>
    </row>
    <row r="16" spans="1:8" s="21" customFormat="1">
      <c r="A16" s="10"/>
      <c r="B16" s="10"/>
      <c r="C16" s="22" t="s">
        <v>64</v>
      </c>
      <c r="D16" s="21">
        <f xml:space="preserve"> AVERAGE(30, 50)</f>
        <v>40</v>
      </c>
      <c r="E16" s="19">
        <f t="shared" si="0"/>
        <v>814.8733086305042</v>
      </c>
      <c r="G16" s="23">
        <f t="shared" si="1"/>
        <v>33.953054526271011</v>
      </c>
    </row>
    <row r="17" spans="1:7" s="21" customFormat="1">
      <c r="A17" s="10"/>
      <c r="B17" s="10"/>
      <c r="C17" s="22" t="s">
        <v>65</v>
      </c>
      <c r="D17" s="21">
        <v>35</v>
      </c>
      <c r="E17" s="19">
        <f t="shared" si="0"/>
        <v>713.01414505169112</v>
      </c>
      <c r="G17" s="23">
        <f t="shared" si="1"/>
        <v>29.70892271048713</v>
      </c>
    </row>
    <row r="18" spans="1:7" s="21" customFormat="1">
      <c r="A18" s="10"/>
      <c r="B18" s="10"/>
      <c r="C18" s="22" t="s">
        <v>66</v>
      </c>
      <c r="D18" s="21">
        <f xml:space="preserve"> AVERAGE(15, 25)</f>
        <v>20</v>
      </c>
      <c r="E18" s="19">
        <f t="shared" si="0"/>
        <v>407.4366543152521</v>
      </c>
      <c r="G18" s="23">
        <f t="shared" si="1"/>
        <v>16.976527263135505</v>
      </c>
    </row>
    <row r="19" spans="1:7" s="21" customFormat="1">
      <c r="A19" s="10"/>
      <c r="B19" s="10"/>
      <c r="C19" s="22" t="s">
        <v>47</v>
      </c>
      <c r="D19" s="21">
        <v>25</v>
      </c>
      <c r="E19" s="19">
        <f t="shared" si="0"/>
        <v>509.29581789406507</v>
      </c>
      <c r="G19" s="23">
        <f t="shared" si="1"/>
        <v>21.220659078919379</v>
      </c>
    </row>
    <row r="20" spans="1:7" s="21" customFormat="1">
      <c r="A20" s="10"/>
      <c r="B20" s="10"/>
      <c r="C20" s="22" t="s">
        <v>67</v>
      </c>
      <c r="D20" s="21">
        <v>10</v>
      </c>
      <c r="E20" s="19">
        <f t="shared" si="0"/>
        <v>203.71832715762605</v>
      </c>
      <c r="G20" s="23">
        <f t="shared" si="1"/>
        <v>8.4882636315677527</v>
      </c>
    </row>
    <row r="21" spans="1:7" s="21" customFormat="1">
      <c r="A21" s="10"/>
      <c r="B21" s="10"/>
      <c r="C21" s="22" t="s">
        <v>68</v>
      </c>
      <c r="D21" s="21">
        <f xml:space="preserve"> AVERAGE(10, 20)</f>
        <v>15</v>
      </c>
      <c r="E21" s="19">
        <f t="shared" si="0"/>
        <v>305.57749073643907</v>
      </c>
      <c r="G21" s="23">
        <f t="shared" si="1"/>
        <v>12.732395447351628</v>
      </c>
    </row>
    <row r="22" spans="1:7" s="21" customFormat="1">
      <c r="A22" s="10"/>
      <c r="B22" s="10"/>
      <c r="C22" s="22" t="s">
        <v>69</v>
      </c>
      <c r="D22" s="21">
        <v>15</v>
      </c>
      <c r="E22" s="19">
        <f t="shared" si="0"/>
        <v>305.57749073643907</v>
      </c>
      <c r="G22" s="23">
        <f t="shared" si="1"/>
        <v>12.732395447351628</v>
      </c>
    </row>
    <row r="23" spans="1:7" s="21" customFormat="1">
      <c r="A23" s="10"/>
      <c r="B23" s="10"/>
      <c r="C23" s="22" t="s">
        <v>70</v>
      </c>
      <c r="D23" s="21">
        <f xml:space="preserve"> AVERAGE(50, 70)</f>
        <v>60</v>
      </c>
      <c r="E23" s="19">
        <f t="shared" si="0"/>
        <v>1222.3099629457563</v>
      </c>
      <c r="G23" s="23">
        <f t="shared" si="1"/>
        <v>50.929581789406512</v>
      </c>
    </row>
    <row r="24" spans="1:7">
      <c r="E24" s="24"/>
      <c r="G24" s="25"/>
    </row>
    <row r="25" spans="1:7">
      <c r="E25" s="24"/>
      <c r="G25" s="25"/>
    </row>
    <row r="26" spans="1:7">
      <c r="E26" s="24"/>
      <c r="G26" s="25"/>
    </row>
    <row r="27" spans="1:7">
      <c r="E27" s="24"/>
      <c r="G27" s="25"/>
    </row>
    <row r="28" spans="1:7">
      <c r="E28" s="24"/>
      <c r="G28" s="25"/>
    </row>
    <row r="29" spans="1:7">
      <c r="E29" s="24"/>
      <c r="G29" s="25"/>
    </row>
    <row r="30" spans="1:7">
      <c r="E30" s="24"/>
      <c r="G30" s="25"/>
    </row>
    <row r="31" spans="1:7">
      <c r="E31" s="24"/>
      <c r="G31" s="25"/>
    </row>
    <row r="32" spans="1:7">
      <c r="E32" s="24"/>
      <c r="G32" s="25"/>
    </row>
    <row r="33" spans="5:7">
      <c r="E33" s="24"/>
      <c r="G33" s="25"/>
    </row>
  </sheetData>
  <sheetProtection sheet="1" objects="1" scenarios="1"/>
  <conditionalFormatting sqref="D1">
    <cfRule type="expression" dxfId="0" priority="1">
      <formula>MOD(COLUMN(),3)=0</formula>
    </cfRule>
  </conditionalFormatting>
  <pageMargins left="0.7" right="0.7" top="0.75" bottom="0.75" header="0.3" footer="0.3"/>
  <pageSetup paperSize="9" orientation="portrait"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11"/>
  <sheetViews>
    <sheetView zoomScale="120" workbookViewId="0">
      <selection activeCell="D7" sqref="D7"/>
    </sheetView>
  </sheetViews>
  <sheetFormatPr defaultColWidth="9.109375" defaultRowHeight="14.4"/>
  <cols>
    <col min="1" max="1" width="12.44140625" style="26" bestFit="1" customWidth="1"/>
    <col min="2" max="19" width="9.109375" style="26" customWidth="1"/>
    <col min="20" max="16384" width="9.109375" style="26"/>
  </cols>
  <sheetData>
    <row r="1" spans="1:10" s="27" customFormat="1">
      <c r="A1" s="28"/>
      <c r="B1" s="94" t="s">
        <v>71</v>
      </c>
      <c r="C1" s="94"/>
      <c r="D1" s="94"/>
      <c r="E1" s="94"/>
      <c r="F1" s="94"/>
      <c r="G1" s="94"/>
      <c r="H1" s="94"/>
      <c r="I1" s="94"/>
      <c r="J1" s="94"/>
    </row>
    <row r="2" spans="1:10" s="29" customFormat="1">
      <c r="A2" s="29" t="s">
        <v>0</v>
      </c>
      <c r="B2" s="91" t="s">
        <v>72</v>
      </c>
      <c r="C2" s="91"/>
      <c r="D2" s="91"/>
      <c r="E2" s="92" t="s">
        <v>73</v>
      </c>
      <c r="F2" s="92"/>
      <c r="G2" s="92"/>
      <c r="H2" s="93" t="s">
        <v>74</v>
      </c>
      <c r="I2" s="93"/>
      <c r="J2" s="93"/>
    </row>
    <row r="3" spans="1:10" s="27" customFormat="1">
      <c r="A3" s="30">
        <v>0.5</v>
      </c>
      <c r="B3" s="31">
        <f xml:space="preserve"> 0.03 * A3</f>
        <v>1.4999999999999999E-2</v>
      </c>
      <c r="C3" s="31">
        <f xml:space="preserve"> AVERAGE(B3, D3)</f>
        <v>0.02</v>
      </c>
      <c r="D3" s="31">
        <f xml:space="preserve"> 0.05 * A3</f>
        <v>2.5000000000000001E-2</v>
      </c>
      <c r="E3" s="32">
        <f xml:space="preserve"> 0.1 * A3</f>
        <v>0.05</v>
      </c>
      <c r="F3" s="32">
        <f xml:space="preserve"> AVERAGE(E3, G3)</f>
        <v>8.7499999999999994E-2</v>
      </c>
      <c r="G3" s="32">
        <f xml:space="preserve"> 0.25 * A3</f>
        <v>0.125</v>
      </c>
      <c r="H3" s="33">
        <f xml:space="preserve"> 0.3 * A3</f>
        <v>0.15</v>
      </c>
      <c r="I3" s="33">
        <f xml:space="preserve"> AVERAGE(H3, J3)</f>
        <v>0.2</v>
      </c>
      <c r="J3" s="33">
        <f xml:space="preserve"> 0.5 * A3</f>
        <v>0.25</v>
      </c>
    </row>
    <row r="5" spans="1:10">
      <c r="B5" s="94" t="s">
        <v>75</v>
      </c>
      <c r="C5" s="94"/>
      <c r="D5" s="94"/>
      <c r="E5" s="94"/>
      <c r="F5" s="94"/>
      <c r="G5" s="94"/>
      <c r="H5" s="94"/>
      <c r="I5" s="94"/>
      <c r="J5" s="94"/>
    </row>
    <row r="6" spans="1:10">
      <c r="B6" s="91" t="s">
        <v>76</v>
      </c>
      <c r="C6" s="91"/>
      <c r="D6" s="91"/>
      <c r="E6" s="92" t="s">
        <v>77</v>
      </c>
      <c r="F6" s="92"/>
      <c r="G6" s="92"/>
      <c r="H6" s="93" t="s">
        <v>78</v>
      </c>
      <c r="I6" s="93"/>
      <c r="J6" s="93"/>
    </row>
    <row r="7" spans="1:10">
      <c r="B7" s="31">
        <f xml:space="preserve"> 0.01 * A3</f>
        <v>5.0000000000000001E-3</v>
      </c>
      <c r="C7" s="31">
        <f xml:space="preserve"> AVERAGE(B7, D7)</f>
        <v>6.5000000000000002E-2</v>
      </c>
      <c r="D7" s="31">
        <f xml:space="preserve"> 0.25 * A3</f>
        <v>0.125</v>
      </c>
      <c r="E7" s="32">
        <f xml:space="preserve"> D7</f>
        <v>0.125</v>
      </c>
      <c r="F7" s="32">
        <f xml:space="preserve"> AVERAGE(E7, G7)</f>
        <v>0.1875</v>
      </c>
      <c r="G7" s="32">
        <f xml:space="preserve"> 0.5 * A3</f>
        <v>0.25</v>
      </c>
      <c r="H7" s="33">
        <f xml:space="preserve"> G7</f>
        <v>0.25</v>
      </c>
      <c r="I7" s="33">
        <f xml:space="preserve"> AVERAGE(H7, J7)</f>
        <v>0.375</v>
      </c>
      <c r="J7" s="33">
        <f xml:space="preserve"> 1 * A3</f>
        <v>0.5</v>
      </c>
    </row>
    <row r="11" spans="1:10" ht="16.2" customHeight="1"/>
  </sheetData>
  <sheetProtection sheet="1" objects="1" scenarios="1"/>
  <mergeCells count="8">
    <mergeCell ref="B6:D6"/>
    <mergeCell ref="E6:G6"/>
    <mergeCell ref="H6:J6"/>
    <mergeCell ref="B1:J1"/>
    <mergeCell ref="B5:J5"/>
    <mergeCell ref="B2:D2"/>
    <mergeCell ref="E2:G2"/>
    <mergeCell ref="H2:J2"/>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43"/>
  <sheetViews>
    <sheetView tabSelected="1" zoomScale="120" workbookViewId="0">
      <selection activeCell="A5" sqref="A5"/>
    </sheetView>
  </sheetViews>
  <sheetFormatPr defaultColWidth="9.109375" defaultRowHeight="14.4"/>
  <cols>
    <col min="1" max="1" width="12.88671875" style="26" bestFit="1" customWidth="1"/>
    <col min="2" max="2" width="22" style="26" bestFit="1" customWidth="1"/>
    <col min="3" max="3" width="20.88671875" style="26" bestFit="1" customWidth="1"/>
    <col min="4" max="4" width="21.109375" style="26" bestFit="1" customWidth="1"/>
    <col min="5" max="16" width="9.109375" style="26"/>
    <col min="17" max="17" width="9.109375" style="26" hidden="1" customWidth="1"/>
    <col min="18" max="18" width="0" style="26" hidden="1" customWidth="1"/>
    <col min="19" max="16384" width="9.109375" style="26"/>
  </cols>
  <sheetData>
    <row r="1" spans="1:18" s="34" customFormat="1">
      <c r="A1" s="35" t="s">
        <v>0</v>
      </c>
      <c r="B1" s="35" t="s">
        <v>79</v>
      </c>
      <c r="C1" s="35" t="s">
        <v>80</v>
      </c>
      <c r="D1" s="35" t="s">
        <v>80</v>
      </c>
    </row>
    <row r="2" spans="1:18" s="34" customFormat="1">
      <c r="A2" s="30">
        <v>0.5</v>
      </c>
      <c r="B2" s="34">
        <f xml:space="preserve"> $A$2 * 0.05</f>
        <v>2.5000000000000001E-2</v>
      </c>
      <c r="C2" s="34">
        <f xml:space="preserve"> $A$2 * 1.9</f>
        <v>0.95</v>
      </c>
      <c r="D2" s="36">
        <f t="shared" ref="D2:D21" si="0" xml:space="preserve"> EXP(INDEX(LINEST(LN($R$2:$R$7), $Q$2:$Q$7), 1, 2)) * EXP(INDEX(LINEST(LN($R$2:$R$7), $Q$2:$Q$7), 1) * B2)</f>
        <v>1.0476195832591477</v>
      </c>
      <c r="Q2" s="34">
        <f xml:space="preserve"> B2</f>
        <v>2.5000000000000001E-2</v>
      </c>
      <c r="R2" s="34">
        <f xml:space="preserve"> C2</f>
        <v>0.95</v>
      </c>
    </row>
    <row r="3" spans="1:18" s="34" customFormat="1">
      <c r="A3" s="26"/>
      <c r="B3" s="34">
        <f xml:space="preserve"> $A$2 * 0.1</f>
        <v>0.05</v>
      </c>
      <c r="C3" s="34">
        <f xml:space="preserve"> $A$2 * 1.5</f>
        <v>0.75</v>
      </c>
      <c r="D3" s="36">
        <f t="shared" si="0"/>
        <v>0.79348480736428484</v>
      </c>
      <c r="Q3" s="34">
        <f xml:space="preserve"> B3</f>
        <v>0.05</v>
      </c>
      <c r="R3" s="34">
        <f xml:space="preserve"> C3</f>
        <v>0.75</v>
      </c>
    </row>
    <row r="4" spans="1:18" s="34" customFormat="1">
      <c r="A4" s="26"/>
      <c r="B4" s="34">
        <f xml:space="preserve"> $A$2 * 0.15</f>
        <v>7.4999999999999997E-2</v>
      </c>
      <c r="D4" s="36">
        <f t="shared" si="0"/>
        <v>0.60099882588982556</v>
      </c>
      <c r="Q4" s="34">
        <f xml:space="preserve"> B5</f>
        <v>0.1</v>
      </c>
      <c r="R4" s="34">
        <f xml:space="preserve"> C5</f>
        <v>0.5</v>
      </c>
    </row>
    <row r="5" spans="1:18" s="34" customFormat="1">
      <c r="A5" s="26"/>
      <c r="B5" s="34">
        <f xml:space="preserve"> $A$2 * 0.2</f>
        <v>0.1</v>
      </c>
      <c r="C5" s="34">
        <f xml:space="preserve"> $A$2 * 1</f>
        <v>0.5</v>
      </c>
      <c r="D5" s="36">
        <f t="shared" si="0"/>
        <v>0.45520668495310468</v>
      </c>
      <c r="Q5" s="34">
        <f xml:space="preserve"> B7</f>
        <v>0.15</v>
      </c>
      <c r="R5" s="34">
        <f xml:space="preserve"> C7</f>
        <v>0.3</v>
      </c>
    </row>
    <row r="6" spans="1:18" s="34" customFormat="1">
      <c r="A6" s="26"/>
      <c r="B6" s="34">
        <f xml:space="preserve"> $A$2 * 0.25</f>
        <v>0.125</v>
      </c>
      <c r="D6" s="36">
        <f t="shared" si="0"/>
        <v>0.34478124931309123</v>
      </c>
      <c r="Q6" s="34">
        <f xml:space="preserve"> B9</f>
        <v>0.2</v>
      </c>
      <c r="R6" s="34">
        <f xml:space="preserve"> C9</f>
        <v>0.16666666666666666</v>
      </c>
    </row>
    <row r="7" spans="1:18" s="34" customFormat="1">
      <c r="A7" s="26"/>
      <c r="B7" s="34">
        <f xml:space="preserve"> $A$2 * 0.3</f>
        <v>0.15</v>
      </c>
      <c r="C7" s="34">
        <f xml:space="preserve"> $A$2 * 0.6</f>
        <v>0.3</v>
      </c>
      <c r="D7" s="36">
        <f t="shared" si="0"/>
        <v>0.2611431549827577</v>
      </c>
      <c r="Q7" s="34">
        <f xml:space="preserve"> B11</f>
        <v>0.25</v>
      </c>
      <c r="R7" s="34">
        <f xml:space="preserve"> C11</f>
        <v>7.1428571428571425E-2</v>
      </c>
    </row>
    <row r="8" spans="1:18" s="34" customFormat="1">
      <c r="A8" s="26"/>
      <c r="B8" s="34">
        <f xml:space="preserve"> $A$2 * 0.35</f>
        <v>0.17499999999999999</v>
      </c>
      <c r="D8" s="36">
        <f t="shared" si="0"/>
        <v>0.19779424643948948</v>
      </c>
    </row>
    <row r="9" spans="1:18" s="34" customFormat="1">
      <c r="A9" s="26"/>
      <c r="B9" s="34">
        <f xml:space="preserve"> $A$2 * 0.4</f>
        <v>0.2</v>
      </c>
      <c r="C9" s="34">
        <f xml:space="preserve"> $A$2 * 1 / 3</f>
        <v>0.16666666666666666</v>
      </c>
      <c r="D9" s="36">
        <f t="shared" si="0"/>
        <v>0.14981271068410199</v>
      </c>
    </row>
    <row r="10" spans="1:18" s="34" customFormat="1">
      <c r="A10" s="26"/>
      <c r="B10" s="34">
        <f xml:space="preserve"> $A$2 * 0.45</f>
        <v>0.22500000000000001</v>
      </c>
      <c r="D10" s="36">
        <f t="shared" si="0"/>
        <v>0.11347068323033661</v>
      </c>
    </row>
    <row r="11" spans="1:18" s="34" customFormat="1">
      <c r="A11" s="26"/>
      <c r="B11" s="34">
        <f xml:space="preserve"> $A$2 * 0.5</f>
        <v>0.25</v>
      </c>
      <c r="C11" s="34">
        <f xml:space="preserve"> $A$2 * 1 / 7</f>
        <v>7.1428571428571425E-2</v>
      </c>
      <c r="D11" s="36">
        <f t="shared" si="0"/>
        <v>8.5944616407810204E-2</v>
      </c>
    </row>
    <row r="12" spans="1:18" s="34" customFormat="1">
      <c r="A12" s="26"/>
      <c r="B12" s="34">
        <f xml:space="preserve"> $A$2 * 0.55</f>
        <v>0.27500000000000002</v>
      </c>
      <c r="D12" s="36">
        <f t="shared" si="0"/>
        <v>6.5095907411535259E-2</v>
      </c>
    </row>
    <row r="13" spans="1:18" s="34" customFormat="1">
      <c r="A13" s="26"/>
      <c r="B13" s="34">
        <f xml:space="preserve"> $A$2 * 0.6</f>
        <v>0.3</v>
      </c>
      <c r="D13" s="36">
        <f t="shared" si="0"/>
        <v>4.9304742272909721E-2</v>
      </c>
    </row>
    <row r="14" spans="1:18" s="34" customFormat="1">
      <c r="A14" s="26"/>
      <c r="B14" s="34">
        <f xml:space="preserve"> $A$2 * 0.65</f>
        <v>0.32500000000000001</v>
      </c>
      <c r="D14" s="36">
        <f t="shared" si="0"/>
        <v>3.7344246470512772E-2</v>
      </c>
    </row>
    <row r="15" spans="1:18" s="34" customFormat="1">
      <c r="A15" s="26"/>
      <c r="B15" s="34">
        <f xml:space="preserve"> $A$2 * 0.7</f>
        <v>0.35</v>
      </c>
      <c r="D15" s="36">
        <f t="shared" si="0"/>
        <v>2.828516447223493E-2</v>
      </c>
    </row>
    <row r="16" spans="1:18" s="34" customFormat="1">
      <c r="A16" s="26"/>
      <c r="B16" s="34">
        <f xml:space="preserve"> $A$2 * 0.75</f>
        <v>0.375</v>
      </c>
      <c r="D16" s="36">
        <f t="shared" si="0"/>
        <v>2.1423662406820955E-2</v>
      </c>
    </row>
    <row r="17" spans="1:4" s="34" customFormat="1">
      <c r="A17" s="26"/>
      <c r="B17" s="34">
        <f xml:space="preserve"> $A$2 * 0.8</f>
        <v>0.4</v>
      </c>
      <c r="D17" s="36">
        <f t="shared" si="0"/>
        <v>1.6226644585078078E-2</v>
      </c>
    </row>
    <row r="18" spans="1:4" s="34" customFormat="1">
      <c r="A18" s="26"/>
      <c r="B18" s="34">
        <f xml:space="preserve"> $A$2 * 0.85</f>
        <v>0.42499999999999999</v>
      </c>
      <c r="D18" s="36">
        <f t="shared" si="0"/>
        <v>1.2290335307310093E-2</v>
      </c>
    </row>
    <row r="19" spans="1:4" s="34" customFormat="1">
      <c r="A19" s="26"/>
      <c r="B19" s="34">
        <f xml:space="preserve"> $A$2 * 0.9</f>
        <v>0.45</v>
      </c>
      <c r="D19" s="36">
        <f t="shared" si="0"/>
        <v>9.3089080231054059E-3</v>
      </c>
    </row>
    <row r="20" spans="1:4" s="34" customFormat="1">
      <c r="A20" s="26"/>
      <c r="B20" s="34">
        <f xml:space="preserve"> $A$2 * 0.95</f>
        <v>0.47499999999999998</v>
      </c>
      <c r="D20" s="36">
        <f t="shared" si="0"/>
        <v>7.050724525887812E-3</v>
      </c>
    </row>
    <row r="21" spans="1:4" s="34" customFormat="1">
      <c r="A21" s="26"/>
      <c r="B21" s="34">
        <f xml:space="preserve"> $A$2 * 1</f>
        <v>0.5</v>
      </c>
      <c r="D21" s="36">
        <f t="shared" si="0"/>
        <v>5.3403381166260517E-3</v>
      </c>
    </row>
    <row r="23" spans="1:4">
      <c r="B23" s="134" t="s">
        <v>139</v>
      </c>
      <c r="C23" s="134" t="s">
        <v>140</v>
      </c>
      <c r="D23" s="134" t="s">
        <v>140</v>
      </c>
    </row>
    <row r="24" spans="1:4">
      <c r="B24" s="135">
        <v>0.05</v>
      </c>
      <c r="C24" s="135">
        <f xml:space="preserve"> 1.9</f>
        <v>1.9</v>
      </c>
      <c r="D24" s="136">
        <f xml:space="preserve"> D2 / $A$2</f>
        <v>2.0952391665182954</v>
      </c>
    </row>
    <row r="25" spans="1:4">
      <c r="B25" s="135">
        <v>0.1</v>
      </c>
      <c r="C25" s="135">
        <f xml:space="preserve"> 1.5</f>
        <v>1.5</v>
      </c>
      <c r="D25" s="136">
        <f t="shared" ref="D25:D43" si="1" xml:space="preserve"> D3 / $A$2</f>
        <v>1.5869696147285697</v>
      </c>
    </row>
    <row r="26" spans="1:4">
      <c r="B26" s="135">
        <v>0.15</v>
      </c>
      <c r="C26" s="135"/>
      <c r="D26" s="136">
        <f t="shared" si="1"/>
        <v>1.2019976517796511</v>
      </c>
    </row>
    <row r="27" spans="1:4">
      <c r="B27" s="135">
        <v>0.2</v>
      </c>
      <c r="C27" s="135">
        <f xml:space="preserve"> 1</f>
        <v>1</v>
      </c>
      <c r="D27" s="136">
        <f t="shared" si="1"/>
        <v>0.91041336990620936</v>
      </c>
    </row>
    <row r="28" spans="1:4">
      <c r="B28" s="135">
        <v>0.25</v>
      </c>
      <c r="C28" s="135"/>
      <c r="D28" s="136">
        <f t="shared" si="1"/>
        <v>0.68956249862618246</v>
      </c>
    </row>
    <row r="29" spans="1:4">
      <c r="B29" s="135">
        <v>0.3</v>
      </c>
      <c r="C29" s="135">
        <f xml:space="preserve"> 0.6</f>
        <v>0.6</v>
      </c>
      <c r="D29" s="136">
        <f t="shared" si="1"/>
        <v>0.52228630996551539</v>
      </c>
    </row>
    <row r="30" spans="1:4">
      <c r="B30" s="135">
        <v>0.35</v>
      </c>
      <c r="C30" s="135"/>
      <c r="D30" s="136">
        <f t="shared" si="1"/>
        <v>0.39558849287897896</v>
      </c>
    </row>
    <row r="31" spans="1:4">
      <c r="B31" s="135">
        <v>0.4</v>
      </c>
      <c r="C31" s="135">
        <f xml:space="preserve"> 1 / 3</f>
        <v>0.33333333333333331</v>
      </c>
      <c r="D31" s="136">
        <f t="shared" si="1"/>
        <v>0.29962542136820397</v>
      </c>
    </row>
    <row r="32" spans="1:4">
      <c r="B32" s="135">
        <v>0.45</v>
      </c>
      <c r="C32" s="135"/>
      <c r="D32" s="136">
        <f t="shared" si="1"/>
        <v>0.22694136646067323</v>
      </c>
    </row>
    <row r="33" spans="2:4">
      <c r="B33" s="135">
        <v>0.5</v>
      </c>
      <c r="C33" s="135">
        <f xml:space="preserve"> 1 / 7</f>
        <v>0.14285714285714285</v>
      </c>
      <c r="D33" s="136">
        <f t="shared" si="1"/>
        <v>0.17188923281562041</v>
      </c>
    </row>
    <row r="34" spans="2:4">
      <c r="B34" s="135">
        <v>0.55000000000000004</v>
      </c>
      <c r="C34" s="34"/>
      <c r="D34" s="136">
        <f t="shared" si="1"/>
        <v>0.13019181482307052</v>
      </c>
    </row>
    <row r="35" spans="2:4">
      <c r="B35" s="135">
        <v>0.6</v>
      </c>
      <c r="C35" s="34"/>
      <c r="D35" s="136">
        <f t="shared" si="1"/>
        <v>9.8609484545819442E-2</v>
      </c>
    </row>
    <row r="36" spans="2:4">
      <c r="B36" s="135">
        <v>0.65</v>
      </c>
      <c r="C36" s="34"/>
      <c r="D36" s="136">
        <f t="shared" si="1"/>
        <v>7.4688492941025544E-2</v>
      </c>
    </row>
    <row r="37" spans="2:4">
      <c r="B37" s="135">
        <v>0.7</v>
      </c>
      <c r="C37" s="34"/>
      <c r="D37" s="136">
        <f t="shared" si="1"/>
        <v>5.657032894446986E-2</v>
      </c>
    </row>
    <row r="38" spans="2:4">
      <c r="B38" s="135">
        <v>0.75</v>
      </c>
      <c r="C38" s="34"/>
      <c r="D38" s="136">
        <f t="shared" si="1"/>
        <v>4.284732481364191E-2</v>
      </c>
    </row>
    <row r="39" spans="2:4">
      <c r="B39" s="135">
        <v>0.8</v>
      </c>
      <c r="C39" s="34"/>
      <c r="D39" s="136">
        <f t="shared" si="1"/>
        <v>3.2453289170156156E-2</v>
      </c>
    </row>
    <row r="40" spans="2:4">
      <c r="B40" s="135">
        <v>0.85</v>
      </c>
      <c r="C40" s="34"/>
      <c r="D40" s="136">
        <f t="shared" si="1"/>
        <v>2.4580670614620187E-2</v>
      </c>
    </row>
    <row r="41" spans="2:4">
      <c r="B41" s="135">
        <v>0.9</v>
      </c>
      <c r="C41" s="34"/>
      <c r="D41" s="136">
        <f t="shared" si="1"/>
        <v>1.8617816046210812E-2</v>
      </c>
    </row>
    <row r="42" spans="2:4">
      <c r="B42" s="135">
        <v>0.95</v>
      </c>
      <c r="C42" s="34"/>
      <c r="D42" s="136">
        <f t="shared" si="1"/>
        <v>1.4101449051775624E-2</v>
      </c>
    </row>
    <row r="43" spans="2:4">
      <c r="B43" s="135">
        <v>1</v>
      </c>
      <c r="C43" s="34"/>
      <c r="D43" s="136">
        <f t="shared" si="1"/>
        <v>1.0680676233252103E-2</v>
      </c>
    </row>
  </sheetData>
  <sheetProtection sheet="1" objects="1" scenarios="1"/>
  <pageMargins left="0.7" right="0.7" top="0.75" bottom="0.75" header="0.3" footer="0.3"/>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W6"/>
  <sheetViews>
    <sheetView zoomScale="145" zoomScaleNormal="145" workbookViewId="0">
      <selection activeCell="B9" sqref="B9:B10"/>
    </sheetView>
  </sheetViews>
  <sheetFormatPr defaultColWidth="9.109375" defaultRowHeight="14.4"/>
  <cols>
    <col min="1" max="1" width="12.44140625" style="26" bestFit="1"/>
    <col min="2" max="2" width="13.6640625" style="26" bestFit="1"/>
    <col min="3" max="5" width="9.109375" style="37" customWidth="1"/>
    <col min="6" max="11" width="9.109375" style="37"/>
    <col min="12" max="16384" width="9.109375" style="26"/>
  </cols>
  <sheetData>
    <row r="1" spans="1:23" s="27" customFormat="1">
      <c r="A1" s="28"/>
      <c r="B1" s="28"/>
      <c r="C1" s="95" t="s">
        <v>81</v>
      </c>
      <c r="D1" s="95"/>
      <c r="E1" s="95"/>
      <c r="G1" s="95" t="s">
        <v>82</v>
      </c>
      <c r="H1" s="95"/>
      <c r="I1" s="95"/>
      <c r="J1" s="95"/>
      <c r="K1" s="95"/>
      <c r="L1" s="95"/>
      <c r="M1"/>
      <c r="N1"/>
    </row>
    <row r="2" spans="1:23" s="38" customFormat="1">
      <c r="A2" s="38" t="s">
        <v>0</v>
      </c>
      <c r="B2" s="38" t="s">
        <v>83</v>
      </c>
      <c r="C2" s="95" t="s">
        <v>84</v>
      </c>
      <c r="D2" s="95"/>
      <c r="E2" s="95"/>
      <c r="G2" s="95" t="s">
        <v>84</v>
      </c>
      <c r="H2" s="95"/>
      <c r="I2" s="95"/>
      <c r="J2" s="95" t="s">
        <v>85</v>
      </c>
      <c r="K2" s="95"/>
      <c r="L2" s="95"/>
    </row>
    <row r="3" spans="1:23" s="27" customFormat="1">
      <c r="A3" s="30">
        <v>0.5</v>
      </c>
      <c r="B3" s="30">
        <v>1</v>
      </c>
      <c r="C3" s="39">
        <f xml:space="preserve"> $A$3 * 0.07</f>
        <v>3.5000000000000003E-2</v>
      </c>
      <c r="D3" s="39">
        <f xml:space="preserve"> AVERAGE(C3, E3)</f>
        <v>9.2499999999999999E-2</v>
      </c>
      <c r="E3" s="39">
        <f xml:space="preserve"> $A$3 * 0.3</f>
        <v>0.15</v>
      </c>
      <c r="G3" s="39">
        <f xml:space="preserve"> $A$3 * 0.1</f>
        <v>0.05</v>
      </c>
      <c r="H3" s="39">
        <f xml:space="preserve"> AVERAGE(G3, I3)</f>
        <v>6.25E-2</v>
      </c>
      <c r="I3" s="39">
        <f xml:space="preserve"> $A$3 * 0.15</f>
        <v>7.4999999999999997E-2</v>
      </c>
      <c r="J3" s="39">
        <f xml:space="preserve"> $B$3 * 0.55</f>
        <v>0.55000000000000004</v>
      </c>
      <c r="K3" s="39">
        <f xml:space="preserve"> AVERAGE(J3, L3)</f>
        <v>0.60000000000000009</v>
      </c>
      <c r="L3" s="39">
        <f xml:space="preserve"> $B$3 * 0.65</f>
        <v>0.65</v>
      </c>
      <c r="M3"/>
      <c r="N3"/>
      <c r="O3"/>
      <c r="P3"/>
      <c r="Q3"/>
      <c r="R3"/>
      <c r="S3"/>
      <c r="T3"/>
      <c r="U3"/>
      <c r="V3"/>
      <c r="W3"/>
    </row>
    <row r="4" spans="1:23">
      <c r="L4" s="37"/>
    </row>
    <row r="5" spans="1:23">
      <c r="C5" s="95" t="s">
        <v>86</v>
      </c>
      <c r="D5" s="95"/>
      <c r="E5" s="95"/>
      <c r="G5" s="95" t="s">
        <v>86</v>
      </c>
      <c r="H5" s="95"/>
      <c r="I5" s="95"/>
    </row>
    <row r="6" spans="1:23">
      <c r="C6" s="39">
        <f xml:space="preserve"> $A$3 * 0.01</f>
        <v>5.0000000000000001E-3</v>
      </c>
      <c r="D6" s="39">
        <f xml:space="preserve"> AVERAGE(C6, E6)</f>
        <v>0.50249999999999995</v>
      </c>
      <c r="E6" s="39">
        <f xml:space="preserve"> $A$3 * 2</f>
        <v>1</v>
      </c>
      <c r="G6" s="39">
        <f xml:space="preserve"> $A$3 * 0.01</f>
        <v>5.0000000000000001E-3</v>
      </c>
      <c r="H6" s="39">
        <f xml:space="preserve"> AVERAGE(G6, I6)</f>
        <v>0.50249999999999995</v>
      </c>
      <c r="I6" s="39">
        <f xml:space="preserve"> $A$3 * 2</f>
        <v>1</v>
      </c>
    </row>
  </sheetData>
  <sheetProtection sheet="1" objects="1" scenarios="1"/>
  <mergeCells count="7">
    <mergeCell ref="C5:E5"/>
    <mergeCell ref="G5:I5"/>
    <mergeCell ref="C1:E1"/>
    <mergeCell ref="G1:L1"/>
    <mergeCell ref="C2:E2"/>
    <mergeCell ref="G2:I2"/>
    <mergeCell ref="J2:L2"/>
  </mergeCells>
  <pageMargins left="0.70078740157480324" right="0.70078740157480324" top="0.75196850393700787" bottom="0.75196850393700787"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61"/>
  <sheetViews>
    <sheetView workbookViewId="0">
      <selection activeCell="B9" sqref="B9:B10"/>
    </sheetView>
  </sheetViews>
  <sheetFormatPr defaultColWidth="9.109375" defaultRowHeight="14.4"/>
  <cols>
    <col min="1" max="1" width="40.6640625" style="40" customWidth="1"/>
    <col min="2" max="2" width="9.109375" style="40"/>
    <col min="3" max="3" width="11.88671875" style="40" customWidth="1"/>
    <col min="4" max="16384" width="9.109375" style="40"/>
  </cols>
  <sheetData>
    <row r="1" spans="1:17">
      <c r="A1" s="114" t="s">
        <v>87</v>
      </c>
      <c r="B1" s="127" t="s">
        <v>88</v>
      </c>
      <c r="C1" s="128"/>
      <c r="D1" s="128"/>
      <c r="E1" s="128"/>
      <c r="F1" s="128"/>
      <c r="G1" s="128"/>
      <c r="H1" s="128"/>
      <c r="I1" s="128"/>
      <c r="J1" s="128"/>
      <c r="K1" s="128"/>
      <c r="L1" s="128"/>
      <c r="M1" s="128"/>
      <c r="N1" s="128"/>
      <c r="O1" s="128"/>
      <c r="P1" s="128"/>
      <c r="Q1" s="129"/>
    </row>
    <row r="2" spans="1:17">
      <c r="A2" s="115"/>
      <c r="B2" s="130" t="s">
        <v>89</v>
      </c>
      <c r="C2" s="127" t="s">
        <v>90</v>
      </c>
      <c r="D2" s="128"/>
      <c r="E2" s="128"/>
      <c r="F2" s="128"/>
      <c r="G2" s="128"/>
      <c r="H2" s="128"/>
      <c r="I2" s="128"/>
      <c r="J2" s="128"/>
      <c r="K2" s="128"/>
      <c r="L2" s="128"/>
      <c r="M2" s="128"/>
      <c r="N2" s="128"/>
      <c r="O2" s="129"/>
      <c r="P2" s="127" t="s">
        <v>91</v>
      </c>
      <c r="Q2" s="129"/>
    </row>
    <row r="3" spans="1:17">
      <c r="A3" s="116"/>
      <c r="B3" s="131"/>
      <c r="C3" s="132">
        <v>6.2E-2</v>
      </c>
      <c r="D3" s="133"/>
      <c r="E3" s="41">
        <v>7.8E-2</v>
      </c>
      <c r="F3" s="41">
        <v>9.2999999999999999E-2</v>
      </c>
      <c r="G3" s="41">
        <v>0.125</v>
      </c>
      <c r="H3" s="41">
        <v>0.187</v>
      </c>
      <c r="I3" s="41">
        <v>0.25</v>
      </c>
      <c r="J3" s="41">
        <v>0.312</v>
      </c>
      <c r="K3" s="41">
        <v>0.375</v>
      </c>
      <c r="L3" s="41">
        <v>0.5</v>
      </c>
      <c r="M3" s="41">
        <v>0.625</v>
      </c>
      <c r="N3" s="41">
        <v>0.75</v>
      </c>
      <c r="O3" s="41">
        <v>1</v>
      </c>
      <c r="P3" s="42" t="s">
        <v>92</v>
      </c>
      <c r="Q3" s="42" t="s">
        <v>93</v>
      </c>
    </row>
    <row r="4" spans="1:17" ht="28.8">
      <c r="A4" s="43" t="s">
        <v>94</v>
      </c>
      <c r="B4" s="103">
        <v>300</v>
      </c>
      <c r="C4" s="44" t="s">
        <v>95</v>
      </c>
      <c r="D4" s="45">
        <v>5.5000000000000003E-4</v>
      </c>
      <c r="E4" s="45">
        <v>6.8999999999999997E-4</v>
      </c>
      <c r="F4" s="45">
        <v>8.1999999999999998E-4</v>
      </c>
      <c r="G4" s="45">
        <v>1.1000000000000001E-3</v>
      </c>
      <c r="H4" s="45">
        <v>1.65E-3</v>
      </c>
      <c r="I4" s="45">
        <v>2.2000000000000001E-3</v>
      </c>
      <c r="J4" s="45">
        <v>2.7499999999999998E-3</v>
      </c>
      <c r="K4" s="45">
        <v>3.3E-3</v>
      </c>
      <c r="L4" s="45">
        <v>4.4000000000000003E-3</v>
      </c>
      <c r="M4" s="45">
        <v>5.4999999999999997E-3</v>
      </c>
      <c r="N4" s="45">
        <v>6.6E-3</v>
      </c>
      <c r="O4" s="45">
        <v>8.8000000000000005E-3</v>
      </c>
      <c r="P4" s="44" t="s">
        <v>96</v>
      </c>
      <c r="Q4" s="44" t="s">
        <v>97</v>
      </c>
    </row>
    <row r="5" spans="1:17">
      <c r="A5" s="46" t="s">
        <v>98</v>
      </c>
      <c r="B5" s="105"/>
      <c r="C5" s="96" t="s">
        <v>99</v>
      </c>
      <c r="D5" s="111">
        <v>5.5000000000000003E-4</v>
      </c>
      <c r="E5" s="111">
        <v>6.8999999999999997E-4</v>
      </c>
      <c r="F5" s="111">
        <v>8.1999999999999998E-4</v>
      </c>
      <c r="G5" s="111">
        <v>1.1000000000000001E-3</v>
      </c>
      <c r="H5" s="111">
        <v>1.65E-3</v>
      </c>
      <c r="I5" s="111">
        <v>2.2000000000000001E-3</v>
      </c>
      <c r="J5" s="111">
        <v>2.7499999999999998E-3</v>
      </c>
      <c r="K5" s="111">
        <v>3.3E-3</v>
      </c>
      <c r="L5" s="111">
        <v>4.4000000000000003E-3</v>
      </c>
      <c r="M5" s="111">
        <v>5.4999999999999997E-3</v>
      </c>
      <c r="N5" s="111">
        <v>6.6E-3</v>
      </c>
      <c r="O5" s="111">
        <v>8.8000000000000005E-3</v>
      </c>
      <c r="P5" s="98" t="s">
        <v>100</v>
      </c>
      <c r="Q5" s="99"/>
    </row>
    <row r="6" spans="1:17">
      <c r="A6" s="96" t="s">
        <v>101</v>
      </c>
      <c r="B6" s="103">
        <v>400</v>
      </c>
      <c r="C6" s="97"/>
      <c r="D6" s="112"/>
      <c r="E6" s="112"/>
      <c r="F6" s="112"/>
      <c r="G6" s="112"/>
      <c r="H6" s="112"/>
      <c r="I6" s="112"/>
      <c r="J6" s="112"/>
      <c r="K6" s="112"/>
      <c r="L6" s="112"/>
      <c r="M6" s="112"/>
      <c r="N6" s="112"/>
      <c r="O6" s="112"/>
      <c r="P6" s="100"/>
      <c r="Q6" s="101"/>
    </row>
    <row r="7" spans="1:17">
      <c r="A7" s="97"/>
      <c r="B7" s="105"/>
      <c r="C7" s="44" t="s">
        <v>102</v>
      </c>
      <c r="D7" s="45">
        <v>3.3E-4</v>
      </c>
      <c r="E7" s="45">
        <v>4.0999999999999999E-4</v>
      </c>
      <c r="F7" s="45">
        <v>4.8999999999999998E-4</v>
      </c>
      <c r="G7" s="45">
        <v>6.6E-4</v>
      </c>
      <c r="H7" s="45">
        <v>9.8999999999999999E-4</v>
      </c>
      <c r="I7" s="45">
        <v>1.32E-3</v>
      </c>
      <c r="J7" s="45">
        <v>1.65E-3</v>
      </c>
      <c r="K7" s="45">
        <v>1.98E-3</v>
      </c>
      <c r="L7" s="45">
        <v>2.64E-3</v>
      </c>
      <c r="M7" s="45">
        <v>3.3E-3</v>
      </c>
      <c r="N7" s="45">
        <v>3.96E-3</v>
      </c>
      <c r="O7" s="45">
        <v>5.28E-3</v>
      </c>
      <c r="P7" s="106" t="s">
        <v>97</v>
      </c>
      <c r="Q7" s="107"/>
    </row>
    <row r="8" spans="1:17" ht="28.8">
      <c r="A8" s="44" t="s">
        <v>103</v>
      </c>
      <c r="B8" s="47">
        <v>300</v>
      </c>
      <c r="C8" s="96" t="s">
        <v>95</v>
      </c>
      <c r="D8" s="111">
        <v>4.8999999999999998E-4</v>
      </c>
      <c r="E8" s="111">
        <v>6.2E-4</v>
      </c>
      <c r="F8" s="111">
        <v>7.3999999999999999E-4</v>
      </c>
      <c r="G8" s="111">
        <v>9.8999999999999999E-4</v>
      </c>
      <c r="H8" s="111">
        <v>1.48E-3</v>
      </c>
      <c r="I8" s="111">
        <v>1.98E-3</v>
      </c>
      <c r="J8" s="111">
        <v>2.47E-3</v>
      </c>
      <c r="K8" s="111">
        <v>2.97E-3</v>
      </c>
      <c r="L8" s="111">
        <v>3.96E-3</v>
      </c>
      <c r="M8" s="111">
        <v>4.9500000000000004E-3</v>
      </c>
      <c r="N8" s="111">
        <v>5.94E-3</v>
      </c>
      <c r="O8" s="111">
        <v>7.92E-3</v>
      </c>
      <c r="P8" s="96" t="s">
        <v>96</v>
      </c>
      <c r="Q8" s="96" t="s">
        <v>97</v>
      </c>
    </row>
    <row r="9" spans="1:17">
      <c r="A9" s="96" t="s">
        <v>104</v>
      </c>
      <c r="B9" s="103">
        <v>280</v>
      </c>
      <c r="C9" s="97"/>
      <c r="D9" s="112"/>
      <c r="E9" s="112"/>
      <c r="F9" s="112"/>
      <c r="G9" s="112"/>
      <c r="H9" s="112"/>
      <c r="I9" s="112"/>
      <c r="J9" s="112"/>
      <c r="K9" s="112"/>
      <c r="L9" s="112"/>
      <c r="M9" s="112"/>
      <c r="N9" s="112"/>
      <c r="O9" s="112"/>
      <c r="P9" s="97"/>
      <c r="Q9" s="97"/>
    </row>
    <row r="10" spans="1:17">
      <c r="A10" s="97"/>
      <c r="B10" s="105"/>
      <c r="C10" s="96" t="s">
        <v>99</v>
      </c>
      <c r="D10" s="111">
        <v>4.8999999999999998E-4</v>
      </c>
      <c r="E10" s="111">
        <v>6.2E-4</v>
      </c>
      <c r="F10" s="111">
        <v>7.3999999999999999E-4</v>
      </c>
      <c r="G10" s="111">
        <v>9.8999999999999999E-4</v>
      </c>
      <c r="H10" s="111">
        <v>1.48E-3</v>
      </c>
      <c r="I10" s="111">
        <v>1.98E-3</v>
      </c>
      <c r="J10" s="111">
        <v>2.47E-3</v>
      </c>
      <c r="K10" s="111">
        <v>2.97E-3</v>
      </c>
      <c r="L10" s="111">
        <v>3.96E-3</v>
      </c>
      <c r="M10" s="111">
        <v>4.9500000000000004E-3</v>
      </c>
      <c r="N10" s="111">
        <v>5.94E-3</v>
      </c>
      <c r="O10" s="111">
        <v>7.92E-3</v>
      </c>
      <c r="P10" s="98" t="s">
        <v>100</v>
      </c>
      <c r="Q10" s="99"/>
    </row>
    <row r="11" spans="1:17" ht="28.8">
      <c r="A11" s="44" t="s">
        <v>105</v>
      </c>
      <c r="B11" s="47">
        <v>260</v>
      </c>
      <c r="C11" s="102"/>
      <c r="D11" s="124"/>
      <c r="E11" s="124"/>
      <c r="F11" s="124"/>
      <c r="G11" s="124"/>
      <c r="H11" s="124"/>
      <c r="I11" s="124"/>
      <c r="J11" s="124"/>
      <c r="K11" s="124"/>
      <c r="L11" s="124"/>
      <c r="M11" s="124"/>
      <c r="N11" s="124"/>
      <c r="O11" s="124"/>
      <c r="P11" s="125"/>
      <c r="Q11" s="126"/>
    </row>
    <row r="12" spans="1:17">
      <c r="A12" s="96" t="s">
        <v>106</v>
      </c>
      <c r="B12" s="103">
        <v>190</v>
      </c>
      <c r="C12" s="97"/>
      <c r="D12" s="112"/>
      <c r="E12" s="112"/>
      <c r="F12" s="112"/>
      <c r="G12" s="112"/>
      <c r="H12" s="112"/>
      <c r="I12" s="112"/>
      <c r="J12" s="112"/>
      <c r="K12" s="112"/>
      <c r="L12" s="112"/>
      <c r="M12" s="112"/>
      <c r="N12" s="112"/>
      <c r="O12" s="112"/>
      <c r="P12" s="100"/>
      <c r="Q12" s="101"/>
    </row>
    <row r="13" spans="1:17">
      <c r="A13" s="97"/>
      <c r="B13" s="105"/>
      <c r="C13" s="96" t="s">
        <v>102</v>
      </c>
      <c r="D13" s="111">
        <v>2.9E-4</v>
      </c>
      <c r="E13" s="111">
        <v>3.6999999999999999E-4</v>
      </c>
      <c r="F13" s="111">
        <v>4.4000000000000002E-4</v>
      </c>
      <c r="G13" s="111">
        <v>5.9000000000000003E-4</v>
      </c>
      <c r="H13" s="111">
        <v>8.8999999999999995E-4</v>
      </c>
      <c r="I13" s="111">
        <v>1.1900000000000001E-3</v>
      </c>
      <c r="J13" s="111">
        <v>1.48E-3</v>
      </c>
      <c r="K13" s="111">
        <v>1.7799999999999999E-3</v>
      </c>
      <c r="L13" s="111">
        <v>2.3800000000000002E-3</v>
      </c>
      <c r="M13" s="111">
        <v>2.97E-3</v>
      </c>
      <c r="N13" s="111">
        <v>3.5599999999999998E-3</v>
      </c>
      <c r="O13" s="111">
        <v>4.7499999999999999E-3</v>
      </c>
      <c r="P13" s="98" t="s">
        <v>97</v>
      </c>
      <c r="Q13" s="99"/>
    </row>
    <row r="14" spans="1:17">
      <c r="A14" s="44" t="s">
        <v>107</v>
      </c>
      <c r="B14" s="47">
        <v>400</v>
      </c>
      <c r="C14" s="102"/>
      <c r="D14" s="124"/>
      <c r="E14" s="124"/>
      <c r="F14" s="124"/>
      <c r="G14" s="124"/>
      <c r="H14" s="124"/>
      <c r="I14" s="124"/>
      <c r="J14" s="124"/>
      <c r="K14" s="124"/>
      <c r="L14" s="124"/>
      <c r="M14" s="124"/>
      <c r="N14" s="124"/>
      <c r="O14" s="124"/>
      <c r="P14" s="125"/>
      <c r="Q14" s="126"/>
    </row>
    <row r="15" spans="1:17">
      <c r="A15" s="44" t="s">
        <v>108</v>
      </c>
      <c r="B15" s="47">
        <v>320</v>
      </c>
      <c r="C15" s="97"/>
      <c r="D15" s="112"/>
      <c r="E15" s="112"/>
      <c r="F15" s="112"/>
      <c r="G15" s="112"/>
      <c r="H15" s="112"/>
      <c r="I15" s="112"/>
      <c r="J15" s="112"/>
      <c r="K15" s="112"/>
      <c r="L15" s="112"/>
      <c r="M15" s="112"/>
      <c r="N15" s="112"/>
      <c r="O15" s="112"/>
      <c r="P15" s="100"/>
      <c r="Q15" s="101"/>
    </row>
    <row r="16" spans="1:17" ht="28.8">
      <c r="A16" s="108" t="s">
        <v>109</v>
      </c>
      <c r="B16" s="103">
        <v>600</v>
      </c>
      <c r="C16" s="44" t="s">
        <v>95</v>
      </c>
      <c r="D16" s="45">
        <v>5.5000000000000003E-4</v>
      </c>
      <c r="E16" s="45">
        <v>6.8999999999999997E-4</v>
      </c>
      <c r="F16" s="45">
        <v>8.1999999999999998E-4</v>
      </c>
      <c r="G16" s="45">
        <v>1.1000000000000001E-3</v>
      </c>
      <c r="H16" s="45">
        <v>1.65E-3</v>
      </c>
      <c r="I16" s="45">
        <v>2.2000000000000001E-3</v>
      </c>
      <c r="J16" s="45">
        <v>2.7499999999999998E-3</v>
      </c>
      <c r="K16" s="45">
        <v>3.3E-3</v>
      </c>
      <c r="L16" s="45">
        <v>4.4000000000000003E-3</v>
      </c>
      <c r="M16" s="45">
        <v>5.4999999999999997E-3</v>
      </c>
      <c r="N16" s="45">
        <v>6.6E-3</v>
      </c>
      <c r="O16" s="45">
        <v>8.8000000000000005E-3</v>
      </c>
      <c r="P16" s="44" t="s">
        <v>96</v>
      </c>
      <c r="Q16" s="44" t="s">
        <v>97</v>
      </c>
    </row>
    <row r="17" spans="1:17">
      <c r="A17" s="110"/>
      <c r="B17" s="105"/>
      <c r="C17" s="96" t="s">
        <v>99</v>
      </c>
      <c r="D17" s="111">
        <v>5.5000000000000003E-4</v>
      </c>
      <c r="E17" s="111">
        <v>6.8999999999999997E-4</v>
      </c>
      <c r="F17" s="111">
        <v>8.1999999999999998E-4</v>
      </c>
      <c r="G17" s="111">
        <v>1.1000000000000001E-3</v>
      </c>
      <c r="H17" s="111">
        <v>1.65E-3</v>
      </c>
      <c r="I17" s="111">
        <v>2.2000000000000001E-3</v>
      </c>
      <c r="J17" s="111">
        <v>2.7499999999999998E-3</v>
      </c>
      <c r="K17" s="111">
        <v>3.3E-3</v>
      </c>
      <c r="L17" s="111">
        <v>4.4000000000000003E-3</v>
      </c>
      <c r="M17" s="111">
        <v>5.4999999999999997E-3</v>
      </c>
      <c r="N17" s="111">
        <v>6.6E-3</v>
      </c>
      <c r="O17" s="111">
        <v>8.8000000000000005E-3</v>
      </c>
      <c r="P17" s="98" t="s">
        <v>100</v>
      </c>
      <c r="Q17" s="99"/>
    </row>
    <row r="18" spans="1:17">
      <c r="A18" s="108" t="s">
        <v>110</v>
      </c>
      <c r="B18" s="103">
        <v>320</v>
      </c>
      <c r="C18" s="97"/>
      <c r="D18" s="112"/>
      <c r="E18" s="112"/>
      <c r="F18" s="112"/>
      <c r="G18" s="112"/>
      <c r="H18" s="112"/>
      <c r="I18" s="112"/>
      <c r="J18" s="112"/>
      <c r="K18" s="112"/>
      <c r="L18" s="112"/>
      <c r="M18" s="112"/>
      <c r="N18" s="112"/>
      <c r="O18" s="112"/>
      <c r="P18" s="100"/>
      <c r="Q18" s="101"/>
    </row>
    <row r="19" spans="1:17">
      <c r="A19" s="110"/>
      <c r="B19" s="105"/>
      <c r="C19" s="44" t="s">
        <v>102</v>
      </c>
      <c r="D19" s="45">
        <v>3.3E-4</v>
      </c>
      <c r="E19" s="45">
        <v>4.0999999999999999E-4</v>
      </c>
      <c r="F19" s="45">
        <v>4.8999999999999998E-4</v>
      </c>
      <c r="G19" s="45">
        <v>6.6E-4</v>
      </c>
      <c r="H19" s="45">
        <v>9.8999999999999999E-4</v>
      </c>
      <c r="I19" s="45">
        <v>1.32E-3</v>
      </c>
      <c r="J19" s="45">
        <v>1.65E-3</v>
      </c>
      <c r="K19" s="45">
        <v>1.98E-3</v>
      </c>
      <c r="L19" s="45">
        <v>2.64E-3</v>
      </c>
      <c r="M19" s="45">
        <v>3.3E-3</v>
      </c>
      <c r="N19" s="45">
        <v>3.96E-3</v>
      </c>
      <c r="O19" s="45">
        <v>5.28E-3</v>
      </c>
      <c r="P19" s="106" t="s">
        <v>97</v>
      </c>
      <c r="Q19" s="107"/>
    </row>
    <row r="20" spans="1:17">
      <c r="A20" s="43" t="s">
        <v>111</v>
      </c>
      <c r="B20" s="103">
        <v>90</v>
      </c>
      <c r="C20" s="96" t="s">
        <v>95</v>
      </c>
      <c r="D20" s="111">
        <v>4.4000000000000002E-4</v>
      </c>
      <c r="E20" s="111">
        <v>5.5000000000000003E-4</v>
      </c>
      <c r="F20" s="111">
        <v>6.4999999999999997E-4</v>
      </c>
      <c r="G20" s="111">
        <v>8.8000000000000003E-4</v>
      </c>
      <c r="H20" s="111">
        <v>1.32E-3</v>
      </c>
      <c r="I20" s="111">
        <v>1.7600000000000001E-3</v>
      </c>
      <c r="J20" s="111">
        <v>2.2000000000000001E-3</v>
      </c>
      <c r="K20" s="111">
        <v>2.64E-3</v>
      </c>
      <c r="L20" s="111">
        <v>3.5200000000000001E-3</v>
      </c>
      <c r="M20" s="111">
        <v>4.4000000000000003E-3</v>
      </c>
      <c r="N20" s="111">
        <v>5.28E-3</v>
      </c>
      <c r="O20" s="111">
        <v>7.0400000000000003E-3</v>
      </c>
      <c r="P20" s="96" t="s">
        <v>112</v>
      </c>
      <c r="Q20" s="96" t="s">
        <v>97</v>
      </c>
    </row>
    <row r="21" spans="1:17">
      <c r="A21" s="46" t="s">
        <v>113</v>
      </c>
      <c r="B21" s="105"/>
      <c r="C21" s="102"/>
      <c r="D21" s="124"/>
      <c r="E21" s="124"/>
      <c r="F21" s="124"/>
      <c r="G21" s="124"/>
      <c r="H21" s="124"/>
      <c r="I21" s="124"/>
      <c r="J21" s="124"/>
      <c r="K21" s="124"/>
      <c r="L21" s="124"/>
      <c r="M21" s="124"/>
      <c r="N21" s="124"/>
      <c r="O21" s="124"/>
      <c r="P21" s="102"/>
      <c r="Q21" s="102"/>
    </row>
    <row r="22" spans="1:17" ht="28.8">
      <c r="A22" s="44" t="s">
        <v>114</v>
      </c>
      <c r="B22" s="47">
        <v>200</v>
      </c>
      <c r="C22" s="102"/>
      <c r="D22" s="124"/>
      <c r="E22" s="124"/>
      <c r="F22" s="124"/>
      <c r="G22" s="124"/>
      <c r="H22" s="124"/>
      <c r="I22" s="124"/>
      <c r="J22" s="124"/>
      <c r="K22" s="124"/>
      <c r="L22" s="124"/>
      <c r="M22" s="124"/>
      <c r="N22" s="124"/>
      <c r="O22" s="124"/>
      <c r="P22" s="102"/>
      <c r="Q22" s="102"/>
    </row>
    <row r="23" spans="1:17">
      <c r="A23" s="96" t="s">
        <v>115</v>
      </c>
      <c r="B23" s="103">
        <v>90</v>
      </c>
      <c r="C23" s="97"/>
      <c r="D23" s="112"/>
      <c r="E23" s="112"/>
      <c r="F23" s="112"/>
      <c r="G23" s="112"/>
      <c r="H23" s="112"/>
      <c r="I23" s="112"/>
      <c r="J23" s="112"/>
      <c r="K23" s="112"/>
      <c r="L23" s="112"/>
      <c r="M23" s="112"/>
      <c r="N23" s="112"/>
      <c r="O23" s="112"/>
      <c r="P23" s="97"/>
      <c r="Q23" s="97"/>
    </row>
    <row r="24" spans="1:17">
      <c r="A24" s="97"/>
      <c r="B24" s="105"/>
      <c r="C24" s="96" t="s">
        <v>99</v>
      </c>
      <c r="D24" s="111">
        <v>4.4000000000000002E-4</v>
      </c>
      <c r="E24" s="111">
        <v>5.5000000000000003E-4</v>
      </c>
      <c r="F24" s="111">
        <v>6.4999999999999997E-4</v>
      </c>
      <c r="G24" s="111">
        <v>8.8000000000000003E-4</v>
      </c>
      <c r="H24" s="111">
        <v>1.32E-3</v>
      </c>
      <c r="I24" s="111">
        <v>1.7600000000000001E-3</v>
      </c>
      <c r="J24" s="111">
        <v>2.2000000000000001E-3</v>
      </c>
      <c r="K24" s="111">
        <v>2.64E-3</v>
      </c>
      <c r="L24" s="111">
        <v>3.5200000000000001E-3</v>
      </c>
      <c r="M24" s="111">
        <v>4.4000000000000003E-3</v>
      </c>
      <c r="N24" s="111">
        <v>5.28E-3</v>
      </c>
      <c r="O24" s="111">
        <v>7.0400000000000003E-3</v>
      </c>
      <c r="P24" s="98" t="s">
        <v>100</v>
      </c>
      <c r="Q24" s="99"/>
    </row>
    <row r="25" spans="1:17" ht="28.8">
      <c r="A25" s="44" t="s">
        <v>116</v>
      </c>
      <c r="B25" s="47">
        <v>200</v>
      </c>
      <c r="C25" s="102"/>
      <c r="D25" s="124"/>
      <c r="E25" s="124"/>
      <c r="F25" s="124"/>
      <c r="G25" s="124"/>
      <c r="H25" s="124"/>
      <c r="I25" s="124"/>
      <c r="J25" s="124"/>
      <c r="K25" s="124"/>
      <c r="L25" s="124"/>
      <c r="M25" s="124"/>
      <c r="N25" s="124"/>
      <c r="O25" s="124"/>
      <c r="P25" s="125"/>
      <c r="Q25" s="126"/>
    </row>
    <row r="26" spans="1:17" ht="28.8">
      <c r="A26" s="44" t="s">
        <v>117</v>
      </c>
      <c r="B26" s="47">
        <v>200</v>
      </c>
      <c r="C26" s="102"/>
      <c r="D26" s="124"/>
      <c r="E26" s="124"/>
      <c r="F26" s="124"/>
      <c r="G26" s="124"/>
      <c r="H26" s="124"/>
      <c r="I26" s="124"/>
      <c r="J26" s="124"/>
      <c r="K26" s="124"/>
      <c r="L26" s="124"/>
      <c r="M26" s="124"/>
      <c r="N26" s="124"/>
      <c r="O26" s="124"/>
      <c r="P26" s="125"/>
      <c r="Q26" s="126"/>
    </row>
    <row r="27" spans="1:17">
      <c r="A27" s="96" t="s">
        <v>118</v>
      </c>
      <c r="B27" s="103">
        <v>90</v>
      </c>
      <c r="C27" s="97"/>
      <c r="D27" s="112"/>
      <c r="E27" s="112"/>
      <c r="F27" s="112"/>
      <c r="G27" s="112"/>
      <c r="H27" s="112"/>
      <c r="I27" s="112"/>
      <c r="J27" s="112"/>
      <c r="K27" s="112"/>
      <c r="L27" s="112"/>
      <c r="M27" s="112"/>
      <c r="N27" s="112"/>
      <c r="O27" s="112"/>
      <c r="P27" s="100"/>
      <c r="Q27" s="101"/>
    </row>
    <row r="28" spans="1:17">
      <c r="A28" s="97"/>
      <c r="B28" s="105"/>
      <c r="C28" s="96" t="s">
        <v>102</v>
      </c>
      <c r="D28" s="111">
        <v>2.5999999999999998E-4</v>
      </c>
      <c r="E28" s="111">
        <v>3.3E-4</v>
      </c>
      <c r="F28" s="111">
        <v>3.8999999999999999E-4</v>
      </c>
      <c r="G28" s="111">
        <v>5.2999999999999998E-4</v>
      </c>
      <c r="H28" s="111">
        <v>7.9000000000000001E-4</v>
      </c>
      <c r="I28" s="111">
        <v>1.06E-3</v>
      </c>
      <c r="J28" s="111">
        <v>1.32E-3</v>
      </c>
      <c r="K28" s="111">
        <v>1.58E-3</v>
      </c>
      <c r="L28" s="111">
        <v>2.1099999999999999E-3</v>
      </c>
      <c r="M28" s="111">
        <v>2.64E-3</v>
      </c>
      <c r="N28" s="111">
        <v>3.1700000000000001E-3</v>
      </c>
      <c r="O28" s="111">
        <v>4.2199999999999998E-3</v>
      </c>
      <c r="P28" s="98" t="s">
        <v>97</v>
      </c>
      <c r="Q28" s="99"/>
    </row>
    <row r="29" spans="1:17" ht="43.2">
      <c r="A29" s="44" t="s">
        <v>119</v>
      </c>
      <c r="B29" s="47">
        <v>220</v>
      </c>
      <c r="C29" s="97"/>
      <c r="D29" s="112"/>
      <c r="E29" s="112"/>
      <c r="F29" s="112"/>
      <c r="G29" s="112"/>
      <c r="H29" s="112"/>
      <c r="I29" s="112"/>
      <c r="J29" s="112"/>
      <c r="K29" s="112"/>
      <c r="L29" s="112"/>
      <c r="M29" s="112"/>
      <c r="N29" s="112"/>
      <c r="O29" s="112"/>
      <c r="P29" s="100"/>
      <c r="Q29" s="101"/>
    </row>
    <row r="30" spans="1:17">
      <c r="A30" s="113"/>
      <c r="B30" s="113"/>
      <c r="C30" s="113"/>
      <c r="D30" s="113"/>
      <c r="E30" s="113"/>
      <c r="F30" s="113"/>
      <c r="G30" s="113"/>
      <c r="H30" s="113"/>
      <c r="I30" s="113"/>
      <c r="J30" s="113"/>
      <c r="K30" s="113"/>
      <c r="L30" s="113"/>
      <c r="M30" s="113"/>
      <c r="N30" s="113"/>
      <c r="O30" s="113"/>
      <c r="P30" s="113"/>
      <c r="Q30" s="113"/>
    </row>
    <row r="31" spans="1:17">
      <c r="A31" s="114" t="s">
        <v>87</v>
      </c>
      <c r="B31" s="117" t="s">
        <v>120</v>
      </c>
      <c r="C31" s="118"/>
      <c r="D31" s="118"/>
      <c r="E31" s="118"/>
      <c r="F31" s="118"/>
      <c r="G31" s="118"/>
      <c r="H31" s="118"/>
      <c r="I31" s="118"/>
      <c r="J31" s="118"/>
      <c r="K31" s="118"/>
      <c r="L31" s="118"/>
      <c r="M31" s="118"/>
      <c r="N31" s="118"/>
      <c r="O31" s="118"/>
      <c r="P31" s="118"/>
      <c r="Q31" s="119"/>
    </row>
    <row r="32" spans="1:17">
      <c r="A32" s="115"/>
      <c r="B32" s="120" t="s">
        <v>89</v>
      </c>
      <c r="C32" s="117" t="s">
        <v>90</v>
      </c>
      <c r="D32" s="118"/>
      <c r="E32" s="118"/>
      <c r="F32" s="118"/>
      <c r="G32" s="118"/>
      <c r="H32" s="118"/>
      <c r="I32" s="118"/>
      <c r="J32" s="118"/>
      <c r="K32" s="118"/>
      <c r="L32" s="118"/>
      <c r="M32" s="118"/>
      <c r="N32" s="118"/>
      <c r="O32" s="119"/>
      <c r="P32" s="117" t="s">
        <v>91</v>
      </c>
      <c r="Q32" s="119"/>
    </row>
    <row r="33" spans="1:17">
      <c r="A33" s="116"/>
      <c r="B33" s="121"/>
      <c r="C33" s="122">
        <v>6.2E-2</v>
      </c>
      <c r="D33" s="123"/>
      <c r="E33" s="48">
        <v>7.8E-2</v>
      </c>
      <c r="F33" s="48">
        <v>9.2999999999999999E-2</v>
      </c>
      <c r="G33" s="48">
        <v>0.125</v>
      </c>
      <c r="H33" s="48">
        <v>0.187</v>
      </c>
      <c r="I33" s="48">
        <v>0.25</v>
      </c>
      <c r="J33" s="48">
        <v>0.312</v>
      </c>
      <c r="K33" s="48">
        <v>0.375</v>
      </c>
      <c r="L33" s="48">
        <v>0.5</v>
      </c>
      <c r="M33" s="48">
        <v>0.625</v>
      </c>
      <c r="N33" s="48">
        <v>0.75</v>
      </c>
      <c r="O33" s="48">
        <v>1</v>
      </c>
      <c r="P33" s="49" t="s">
        <v>92</v>
      </c>
      <c r="Q33" s="49" t="s">
        <v>93</v>
      </c>
    </row>
    <row r="34" spans="1:17" ht="28.8">
      <c r="A34" s="43" t="s">
        <v>121</v>
      </c>
      <c r="B34" s="103">
        <v>240</v>
      </c>
      <c r="C34" s="44" t="s">
        <v>95</v>
      </c>
      <c r="D34" s="45">
        <v>1.9000000000000001E-4</v>
      </c>
      <c r="E34" s="45">
        <v>2.4000000000000001E-4</v>
      </c>
      <c r="F34" s="45">
        <v>2.7999999999999998E-4</v>
      </c>
      <c r="G34" s="45">
        <v>3.8000000000000002E-4</v>
      </c>
      <c r="H34" s="45">
        <v>5.6999999999999998E-4</v>
      </c>
      <c r="I34" s="45">
        <v>7.6000000000000004E-4</v>
      </c>
      <c r="J34" s="45">
        <v>9.3999999999999997E-4</v>
      </c>
      <c r="K34" s="45">
        <v>1.1299999999999999E-3</v>
      </c>
      <c r="L34" s="45">
        <v>1.5100000000000001E-3</v>
      </c>
      <c r="M34" s="45">
        <v>1.89E-3</v>
      </c>
      <c r="N34" s="45">
        <v>2.2699999999999999E-3</v>
      </c>
      <c r="O34" s="45">
        <v>3.0200000000000001E-3</v>
      </c>
      <c r="P34" s="44" t="s">
        <v>122</v>
      </c>
      <c r="Q34" s="44" t="s">
        <v>123</v>
      </c>
    </row>
    <row r="35" spans="1:17">
      <c r="A35" s="102" t="s">
        <v>124</v>
      </c>
      <c r="B35" s="104"/>
      <c r="C35" s="44" t="s">
        <v>99</v>
      </c>
      <c r="D35" s="45">
        <v>2.3000000000000001E-4</v>
      </c>
      <c r="E35" s="45">
        <v>2.9E-4</v>
      </c>
      <c r="F35" s="45">
        <v>3.5E-4</v>
      </c>
      <c r="G35" s="45">
        <v>4.6999999999999999E-4</v>
      </c>
      <c r="H35" s="45">
        <v>7.1000000000000002E-4</v>
      </c>
      <c r="I35" s="45">
        <v>9.5E-4</v>
      </c>
      <c r="J35" s="45">
        <v>1.1800000000000001E-3</v>
      </c>
      <c r="K35" s="45">
        <v>1.42E-3</v>
      </c>
      <c r="L35" s="45">
        <v>1.89E-3</v>
      </c>
      <c r="M35" s="45">
        <v>2.3600000000000001E-3</v>
      </c>
      <c r="N35" s="45">
        <v>2.8400000000000001E-3</v>
      </c>
      <c r="O35" s="45">
        <v>3.7799999999999999E-3</v>
      </c>
      <c r="P35" s="106" t="s">
        <v>125</v>
      </c>
      <c r="Q35" s="107"/>
    </row>
    <row r="36" spans="1:17">
      <c r="A36" s="97"/>
      <c r="B36" s="105"/>
      <c r="C36" s="44" t="s">
        <v>102</v>
      </c>
      <c r="D36" s="44" t="s">
        <v>126</v>
      </c>
      <c r="E36" s="44" t="s">
        <v>126</v>
      </c>
      <c r="F36" s="44" t="s">
        <v>126</v>
      </c>
      <c r="G36" s="44" t="s">
        <v>126</v>
      </c>
      <c r="H36" s="44" t="s">
        <v>126</v>
      </c>
      <c r="I36" s="44" t="s">
        <v>126</v>
      </c>
      <c r="J36" s="44" t="s">
        <v>126</v>
      </c>
      <c r="K36" s="44" t="s">
        <v>126</v>
      </c>
      <c r="L36" s="44" t="s">
        <v>126</v>
      </c>
      <c r="M36" s="44" t="s">
        <v>126</v>
      </c>
      <c r="N36" s="44" t="s">
        <v>126</v>
      </c>
      <c r="O36" s="44" t="s">
        <v>126</v>
      </c>
      <c r="P36" s="106" t="s">
        <v>126</v>
      </c>
      <c r="Q36" s="107"/>
    </row>
    <row r="37" spans="1:17" ht="28.8">
      <c r="A37" s="96" t="s">
        <v>127</v>
      </c>
      <c r="B37" s="103">
        <v>80</v>
      </c>
      <c r="C37" s="44" t="s">
        <v>95</v>
      </c>
      <c r="D37" s="45">
        <v>1.7000000000000001E-4</v>
      </c>
      <c r="E37" s="45">
        <v>2.2000000000000001E-4</v>
      </c>
      <c r="F37" s="45">
        <v>2.5999999999999998E-4</v>
      </c>
      <c r="G37" s="45">
        <v>3.5E-4</v>
      </c>
      <c r="H37" s="45">
        <v>5.1999999999999995E-4</v>
      </c>
      <c r="I37" s="45">
        <v>6.8999999999999997E-4</v>
      </c>
      <c r="J37" s="45">
        <v>8.5999999999999998E-4</v>
      </c>
      <c r="K37" s="45">
        <v>1.0399999999999999E-3</v>
      </c>
      <c r="L37" s="45">
        <v>1.3799999999999999E-3</v>
      </c>
      <c r="M37" s="45">
        <v>1.73E-3</v>
      </c>
      <c r="N37" s="45">
        <v>2.0699999999999998E-3</v>
      </c>
      <c r="O37" s="45">
        <v>2.7599999999999999E-3</v>
      </c>
      <c r="P37" s="44" t="s">
        <v>122</v>
      </c>
      <c r="Q37" s="44" t="s">
        <v>123</v>
      </c>
    </row>
    <row r="38" spans="1:17">
      <c r="A38" s="102"/>
      <c r="B38" s="104"/>
      <c r="C38" s="44" t="s">
        <v>99</v>
      </c>
      <c r="D38" s="45">
        <v>2.1000000000000001E-4</v>
      </c>
      <c r="E38" s="45">
        <v>2.7E-4</v>
      </c>
      <c r="F38" s="45">
        <v>3.2000000000000003E-4</v>
      </c>
      <c r="G38" s="45">
        <v>4.2999999999999999E-4</v>
      </c>
      <c r="H38" s="45">
        <v>6.4999999999999997E-4</v>
      </c>
      <c r="I38" s="45">
        <v>8.5999999999999998E-4</v>
      </c>
      <c r="J38" s="45">
        <v>1.08E-3</v>
      </c>
      <c r="K38" s="45">
        <v>1.2999999999999999E-3</v>
      </c>
      <c r="L38" s="45">
        <v>1.73E-3</v>
      </c>
      <c r="M38" s="45">
        <v>2.16E-3</v>
      </c>
      <c r="N38" s="45">
        <v>2.5899999999999999E-3</v>
      </c>
      <c r="O38" s="45">
        <v>3.46E-3</v>
      </c>
      <c r="P38" s="106" t="s">
        <v>125</v>
      </c>
      <c r="Q38" s="107"/>
    </row>
    <row r="39" spans="1:17">
      <c r="A39" s="97"/>
      <c r="B39" s="105"/>
      <c r="C39" s="44" t="s">
        <v>102</v>
      </c>
      <c r="D39" s="44" t="s">
        <v>126</v>
      </c>
      <c r="E39" s="44" t="s">
        <v>126</v>
      </c>
      <c r="F39" s="44" t="s">
        <v>126</v>
      </c>
      <c r="G39" s="44" t="s">
        <v>126</v>
      </c>
      <c r="H39" s="44" t="s">
        <v>126</v>
      </c>
      <c r="I39" s="44" t="s">
        <v>126</v>
      </c>
      <c r="J39" s="44" t="s">
        <v>126</v>
      </c>
      <c r="K39" s="44" t="s">
        <v>126</v>
      </c>
      <c r="L39" s="44" t="s">
        <v>126</v>
      </c>
      <c r="M39" s="44" t="s">
        <v>126</v>
      </c>
      <c r="N39" s="44" t="s">
        <v>126</v>
      </c>
      <c r="O39" s="44" t="s">
        <v>126</v>
      </c>
      <c r="P39" s="106" t="s">
        <v>126</v>
      </c>
      <c r="Q39" s="107"/>
    </row>
    <row r="40" spans="1:17" ht="28.8">
      <c r="A40" s="43" t="s">
        <v>128</v>
      </c>
      <c r="B40" s="103">
        <v>180</v>
      </c>
      <c r="C40" s="44" t="s">
        <v>95</v>
      </c>
      <c r="D40" s="45">
        <v>1.9000000000000001E-4</v>
      </c>
      <c r="E40" s="45">
        <v>2.4000000000000001E-4</v>
      </c>
      <c r="F40" s="45">
        <v>2.7999999999999998E-4</v>
      </c>
      <c r="G40" s="45">
        <v>3.8000000000000002E-4</v>
      </c>
      <c r="H40" s="45">
        <v>5.6999999999999998E-4</v>
      </c>
      <c r="I40" s="45">
        <v>7.6000000000000004E-4</v>
      </c>
      <c r="J40" s="45">
        <v>9.3999999999999997E-4</v>
      </c>
      <c r="K40" s="45">
        <v>1.1299999999999999E-3</v>
      </c>
      <c r="L40" s="45">
        <v>1.5100000000000001E-3</v>
      </c>
      <c r="M40" s="45">
        <v>1.89E-3</v>
      </c>
      <c r="N40" s="45">
        <v>2.2699999999999999E-3</v>
      </c>
      <c r="O40" s="45">
        <v>3.0200000000000001E-3</v>
      </c>
      <c r="P40" s="44" t="s">
        <v>129</v>
      </c>
      <c r="Q40" s="44" t="s">
        <v>123</v>
      </c>
    </row>
    <row r="41" spans="1:17">
      <c r="A41" s="102" t="s">
        <v>130</v>
      </c>
      <c r="B41" s="104"/>
      <c r="C41" s="44" t="s">
        <v>99</v>
      </c>
      <c r="D41" s="45">
        <v>2.3000000000000001E-4</v>
      </c>
      <c r="E41" s="45">
        <v>2.9E-4</v>
      </c>
      <c r="F41" s="45">
        <v>3.5E-4</v>
      </c>
      <c r="G41" s="45">
        <v>4.6999999999999999E-4</v>
      </c>
      <c r="H41" s="45">
        <v>7.1000000000000002E-4</v>
      </c>
      <c r="I41" s="45">
        <v>9.5E-4</v>
      </c>
      <c r="J41" s="45">
        <v>1.1800000000000001E-3</v>
      </c>
      <c r="K41" s="45">
        <v>1.42E-3</v>
      </c>
      <c r="L41" s="45">
        <v>1.89E-3</v>
      </c>
      <c r="M41" s="45">
        <v>2.3600000000000001E-3</v>
      </c>
      <c r="N41" s="45">
        <v>2.8400000000000001E-3</v>
      </c>
      <c r="O41" s="45">
        <v>3.7799999999999999E-3</v>
      </c>
      <c r="P41" s="106" t="s">
        <v>125</v>
      </c>
      <c r="Q41" s="107"/>
    </row>
    <row r="42" spans="1:17">
      <c r="A42" s="97"/>
      <c r="B42" s="105"/>
      <c r="C42" s="44" t="s">
        <v>102</v>
      </c>
      <c r="D42" s="44" t="s">
        <v>126</v>
      </c>
      <c r="E42" s="44" t="s">
        <v>126</v>
      </c>
      <c r="F42" s="44" t="s">
        <v>126</v>
      </c>
      <c r="G42" s="44" t="s">
        <v>126</v>
      </c>
      <c r="H42" s="44" t="s">
        <v>126</v>
      </c>
      <c r="I42" s="44" t="s">
        <v>126</v>
      </c>
      <c r="J42" s="44" t="s">
        <v>126</v>
      </c>
      <c r="K42" s="44" t="s">
        <v>126</v>
      </c>
      <c r="L42" s="44" t="s">
        <v>126</v>
      </c>
      <c r="M42" s="44" t="s">
        <v>126</v>
      </c>
      <c r="N42" s="44" t="s">
        <v>126</v>
      </c>
      <c r="O42" s="44" t="s">
        <v>126</v>
      </c>
      <c r="P42" s="106" t="s">
        <v>126</v>
      </c>
      <c r="Q42" s="107"/>
    </row>
    <row r="43" spans="1:17" ht="28.8">
      <c r="A43" s="96" t="s">
        <v>131</v>
      </c>
      <c r="B43" s="103">
        <v>80</v>
      </c>
      <c r="C43" s="44" t="s">
        <v>95</v>
      </c>
      <c r="D43" s="45">
        <v>1.7000000000000001E-4</v>
      </c>
      <c r="E43" s="45">
        <v>2.2000000000000001E-4</v>
      </c>
      <c r="F43" s="45">
        <v>2.5999999999999998E-4</v>
      </c>
      <c r="G43" s="45">
        <v>3.5E-4</v>
      </c>
      <c r="H43" s="45">
        <v>5.1999999999999995E-4</v>
      </c>
      <c r="I43" s="45">
        <v>6.8999999999999997E-4</v>
      </c>
      <c r="J43" s="45">
        <v>8.5999999999999998E-4</v>
      </c>
      <c r="K43" s="45">
        <v>1.0399999999999999E-3</v>
      </c>
      <c r="L43" s="45">
        <v>1.3799999999999999E-3</v>
      </c>
      <c r="M43" s="45">
        <v>1.73E-3</v>
      </c>
      <c r="N43" s="45">
        <v>2.0699999999999998E-3</v>
      </c>
      <c r="O43" s="45">
        <v>2.7599999999999999E-3</v>
      </c>
      <c r="P43" s="44" t="s">
        <v>129</v>
      </c>
      <c r="Q43" s="44" t="s">
        <v>123</v>
      </c>
    </row>
    <row r="44" spans="1:17">
      <c r="A44" s="102"/>
      <c r="B44" s="104"/>
      <c r="C44" s="44" t="s">
        <v>99</v>
      </c>
      <c r="D44" s="45">
        <v>2.1000000000000001E-4</v>
      </c>
      <c r="E44" s="45">
        <v>2.7E-4</v>
      </c>
      <c r="F44" s="45">
        <v>3.2000000000000003E-4</v>
      </c>
      <c r="G44" s="45">
        <v>4.2999999999999999E-4</v>
      </c>
      <c r="H44" s="45">
        <v>6.4999999999999997E-4</v>
      </c>
      <c r="I44" s="45">
        <v>8.5999999999999998E-4</v>
      </c>
      <c r="J44" s="45">
        <v>1.08E-3</v>
      </c>
      <c r="K44" s="45">
        <v>1.2999999999999999E-3</v>
      </c>
      <c r="L44" s="45">
        <v>1.73E-3</v>
      </c>
      <c r="M44" s="45">
        <v>2.16E-3</v>
      </c>
      <c r="N44" s="45">
        <v>2.5899999999999999E-3</v>
      </c>
      <c r="O44" s="45">
        <v>3.46E-3</v>
      </c>
      <c r="P44" s="106" t="s">
        <v>125</v>
      </c>
      <c r="Q44" s="107"/>
    </row>
    <row r="45" spans="1:17">
      <c r="A45" s="97"/>
      <c r="B45" s="105"/>
      <c r="C45" s="44" t="s">
        <v>102</v>
      </c>
      <c r="D45" s="44" t="s">
        <v>126</v>
      </c>
      <c r="E45" s="44" t="s">
        <v>126</v>
      </c>
      <c r="F45" s="44" t="s">
        <v>126</v>
      </c>
      <c r="G45" s="44" t="s">
        <v>126</v>
      </c>
      <c r="H45" s="44" t="s">
        <v>126</v>
      </c>
      <c r="I45" s="44" t="s">
        <v>126</v>
      </c>
      <c r="J45" s="44" t="s">
        <v>126</v>
      </c>
      <c r="K45" s="44" t="s">
        <v>126</v>
      </c>
      <c r="L45" s="44" t="s">
        <v>126</v>
      </c>
      <c r="M45" s="44" t="s">
        <v>126</v>
      </c>
      <c r="N45" s="44" t="s">
        <v>126</v>
      </c>
      <c r="O45" s="44" t="s">
        <v>126</v>
      </c>
      <c r="P45" s="106" t="s">
        <v>126</v>
      </c>
      <c r="Q45" s="107"/>
    </row>
    <row r="46" spans="1:17" ht="28.8">
      <c r="A46" s="96" t="s">
        <v>132</v>
      </c>
      <c r="B46" s="103">
        <v>60</v>
      </c>
      <c r="C46" s="44" t="s">
        <v>95</v>
      </c>
      <c r="D46" s="45">
        <v>1.1E-4</v>
      </c>
      <c r="E46" s="45">
        <v>1.2999999999999999E-4</v>
      </c>
      <c r="F46" s="45">
        <v>1.6000000000000001E-4</v>
      </c>
      <c r="G46" s="45">
        <v>2.2000000000000001E-4</v>
      </c>
      <c r="H46" s="45">
        <v>3.2000000000000003E-4</v>
      </c>
      <c r="I46" s="45">
        <v>4.2999999999999999E-4</v>
      </c>
      <c r="J46" s="45">
        <v>5.4000000000000001E-4</v>
      </c>
      <c r="K46" s="45">
        <v>6.4999999999999997E-4</v>
      </c>
      <c r="L46" s="45">
        <v>8.5999999999999998E-4</v>
      </c>
      <c r="M46" s="45">
        <v>1.08E-3</v>
      </c>
      <c r="N46" s="45">
        <v>1.2999999999999999E-3</v>
      </c>
      <c r="O46" s="45">
        <v>1.73E-3</v>
      </c>
      <c r="P46" s="44" t="s">
        <v>129</v>
      </c>
      <c r="Q46" s="44" t="s">
        <v>123</v>
      </c>
    </row>
    <row r="47" spans="1:17">
      <c r="A47" s="102"/>
      <c r="B47" s="104"/>
      <c r="C47" s="44" t="s">
        <v>99</v>
      </c>
      <c r="D47" s="45">
        <v>1.2999999999999999E-4</v>
      </c>
      <c r="E47" s="45">
        <v>1.7000000000000001E-4</v>
      </c>
      <c r="F47" s="45">
        <v>2.0000000000000001E-4</v>
      </c>
      <c r="G47" s="45">
        <v>2.7E-4</v>
      </c>
      <c r="H47" s="45">
        <v>4.0000000000000002E-4</v>
      </c>
      <c r="I47" s="45">
        <v>5.4000000000000001E-4</v>
      </c>
      <c r="J47" s="45">
        <v>6.7000000000000002E-4</v>
      </c>
      <c r="K47" s="45">
        <v>8.0999999999999996E-4</v>
      </c>
      <c r="L47" s="45">
        <v>1.08E-3</v>
      </c>
      <c r="M47" s="45">
        <v>1.3500000000000001E-3</v>
      </c>
      <c r="N47" s="45">
        <v>1.6199999999999999E-3</v>
      </c>
      <c r="O47" s="45">
        <v>2.16E-3</v>
      </c>
      <c r="P47" s="106" t="s">
        <v>125</v>
      </c>
      <c r="Q47" s="107"/>
    </row>
    <row r="48" spans="1:17">
      <c r="A48" s="97"/>
      <c r="B48" s="105"/>
      <c r="C48" s="44" t="s">
        <v>102</v>
      </c>
      <c r="D48" s="44" t="s">
        <v>126</v>
      </c>
      <c r="E48" s="44" t="s">
        <v>126</v>
      </c>
      <c r="F48" s="44" t="s">
        <v>126</v>
      </c>
      <c r="G48" s="44" t="s">
        <v>126</v>
      </c>
      <c r="H48" s="44" t="s">
        <v>126</v>
      </c>
      <c r="I48" s="44" t="s">
        <v>126</v>
      </c>
      <c r="J48" s="44" t="s">
        <v>126</v>
      </c>
      <c r="K48" s="44" t="s">
        <v>126</v>
      </c>
      <c r="L48" s="44" t="s">
        <v>126</v>
      </c>
      <c r="M48" s="44" t="s">
        <v>126</v>
      </c>
      <c r="N48" s="44" t="s">
        <v>126</v>
      </c>
      <c r="O48" s="44" t="s">
        <v>126</v>
      </c>
      <c r="P48" s="106" t="s">
        <v>126</v>
      </c>
      <c r="Q48" s="107"/>
    </row>
    <row r="49" spans="1:17" ht="28.8">
      <c r="A49" s="43" t="s">
        <v>133</v>
      </c>
      <c r="B49" s="103">
        <v>80</v>
      </c>
      <c r="C49" s="44" t="s">
        <v>95</v>
      </c>
      <c r="D49" s="45">
        <v>1.7000000000000001E-4</v>
      </c>
      <c r="E49" s="45">
        <v>2.2000000000000001E-4</v>
      </c>
      <c r="F49" s="45">
        <v>2.5999999999999998E-4</v>
      </c>
      <c r="G49" s="45">
        <v>3.5E-4</v>
      </c>
      <c r="H49" s="45">
        <v>5.1999999999999995E-4</v>
      </c>
      <c r="I49" s="45">
        <v>6.8999999999999997E-4</v>
      </c>
      <c r="J49" s="45">
        <v>8.5999999999999998E-4</v>
      </c>
      <c r="K49" s="45">
        <v>1.0399999999999999E-3</v>
      </c>
      <c r="L49" s="45">
        <v>1.3799999999999999E-3</v>
      </c>
      <c r="M49" s="45">
        <v>1.73E-3</v>
      </c>
      <c r="N49" s="45">
        <v>2.0699999999999998E-3</v>
      </c>
      <c r="O49" s="45">
        <v>2.7599999999999999E-3</v>
      </c>
      <c r="P49" s="44" t="s">
        <v>129</v>
      </c>
      <c r="Q49" s="44" t="s">
        <v>123</v>
      </c>
    </row>
    <row r="50" spans="1:17">
      <c r="A50" s="102" t="s">
        <v>134</v>
      </c>
      <c r="B50" s="104"/>
      <c r="C50" s="44" t="s">
        <v>99</v>
      </c>
      <c r="D50" s="45">
        <v>2.1000000000000001E-4</v>
      </c>
      <c r="E50" s="45">
        <v>2.7E-4</v>
      </c>
      <c r="F50" s="45">
        <v>3.2000000000000003E-4</v>
      </c>
      <c r="G50" s="45">
        <v>4.2999999999999999E-4</v>
      </c>
      <c r="H50" s="45">
        <v>6.4999999999999997E-4</v>
      </c>
      <c r="I50" s="45">
        <v>8.5999999999999998E-4</v>
      </c>
      <c r="J50" s="45">
        <v>1.08E-3</v>
      </c>
      <c r="K50" s="45">
        <v>1.2999999999999999E-3</v>
      </c>
      <c r="L50" s="45">
        <v>1.73E-3</v>
      </c>
      <c r="M50" s="45">
        <v>2.16E-3</v>
      </c>
      <c r="N50" s="45">
        <v>2.5899999999999999E-3</v>
      </c>
      <c r="O50" s="45">
        <v>3.46E-3</v>
      </c>
      <c r="P50" s="106" t="s">
        <v>125</v>
      </c>
      <c r="Q50" s="107"/>
    </row>
    <row r="51" spans="1:17">
      <c r="A51" s="97"/>
      <c r="B51" s="105"/>
      <c r="C51" s="44" t="s">
        <v>102</v>
      </c>
      <c r="D51" s="44" t="s">
        <v>126</v>
      </c>
      <c r="E51" s="44" t="s">
        <v>126</v>
      </c>
      <c r="F51" s="44" t="s">
        <v>126</v>
      </c>
      <c r="G51" s="44" t="s">
        <v>126</v>
      </c>
      <c r="H51" s="44" t="s">
        <v>126</v>
      </c>
      <c r="I51" s="44" t="s">
        <v>126</v>
      </c>
      <c r="J51" s="44" t="s">
        <v>126</v>
      </c>
      <c r="K51" s="44" t="s">
        <v>126</v>
      </c>
      <c r="L51" s="44" t="s">
        <v>126</v>
      </c>
      <c r="M51" s="44" t="s">
        <v>126</v>
      </c>
      <c r="N51" s="44" t="s">
        <v>126</v>
      </c>
      <c r="O51" s="44" t="s">
        <v>126</v>
      </c>
      <c r="P51" s="106" t="s">
        <v>126</v>
      </c>
      <c r="Q51" s="107"/>
    </row>
    <row r="52" spans="1:17" ht="28.8">
      <c r="A52" s="96" t="s">
        <v>135</v>
      </c>
      <c r="B52" s="103">
        <v>60</v>
      </c>
      <c r="C52" s="44" t="s">
        <v>95</v>
      </c>
      <c r="D52" s="45">
        <v>1.1E-4</v>
      </c>
      <c r="E52" s="45">
        <v>1.2999999999999999E-4</v>
      </c>
      <c r="F52" s="45">
        <v>1.6000000000000001E-4</v>
      </c>
      <c r="G52" s="45">
        <v>2.2000000000000001E-4</v>
      </c>
      <c r="H52" s="45">
        <v>3.2000000000000003E-4</v>
      </c>
      <c r="I52" s="45">
        <v>4.2999999999999999E-4</v>
      </c>
      <c r="J52" s="45">
        <v>5.4000000000000001E-4</v>
      </c>
      <c r="K52" s="45">
        <v>6.4999999999999997E-4</v>
      </c>
      <c r="L52" s="45">
        <v>8.5999999999999998E-4</v>
      </c>
      <c r="M52" s="45">
        <v>1.08E-3</v>
      </c>
      <c r="N52" s="45">
        <v>1.2999999999999999E-3</v>
      </c>
      <c r="O52" s="45">
        <v>1.73E-3</v>
      </c>
      <c r="P52" s="44" t="s">
        <v>129</v>
      </c>
      <c r="Q52" s="44" t="s">
        <v>123</v>
      </c>
    </row>
    <row r="53" spans="1:17">
      <c r="A53" s="102"/>
      <c r="B53" s="104"/>
      <c r="C53" s="44" t="s">
        <v>99</v>
      </c>
      <c r="D53" s="45">
        <v>1.2999999999999999E-4</v>
      </c>
      <c r="E53" s="45">
        <v>1.7000000000000001E-4</v>
      </c>
      <c r="F53" s="45">
        <v>2.0000000000000001E-4</v>
      </c>
      <c r="G53" s="45">
        <v>2.7E-4</v>
      </c>
      <c r="H53" s="45">
        <v>4.0000000000000002E-4</v>
      </c>
      <c r="I53" s="45">
        <v>5.4000000000000001E-4</v>
      </c>
      <c r="J53" s="45">
        <v>6.7000000000000002E-4</v>
      </c>
      <c r="K53" s="45">
        <v>8.0999999999999996E-4</v>
      </c>
      <c r="L53" s="45">
        <v>1.08E-3</v>
      </c>
      <c r="M53" s="45">
        <v>1.3500000000000001E-3</v>
      </c>
      <c r="N53" s="45">
        <v>1.6199999999999999E-3</v>
      </c>
      <c r="O53" s="45">
        <v>2.16E-3</v>
      </c>
      <c r="P53" s="106" t="s">
        <v>125</v>
      </c>
      <c r="Q53" s="107"/>
    </row>
    <row r="54" spans="1:17">
      <c r="A54" s="97"/>
      <c r="B54" s="105"/>
      <c r="C54" s="44" t="s">
        <v>102</v>
      </c>
      <c r="D54" s="44" t="s">
        <v>126</v>
      </c>
      <c r="E54" s="44" t="s">
        <v>126</v>
      </c>
      <c r="F54" s="44" t="s">
        <v>126</v>
      </c>
      <c r="G54" s="44" t="s">
        <v>126</v>
      </c>
      <c r="H54" s="44" t="s">
        <v>126</v>
      </c>
      <c r="I54" s="44" t="s">
        <v>126</v>
      </c>
      <c r="J54" s="44" t="s">
        <v>126</v>
      </c>
      <c r="K54" s="44" t="s">
        <v>126</v>
      </c>
      <c r="L54" s="44" t="s">
        <v>126</v>
      </c>
      <c r="M54" s="44" t="s">
        <v>126</v>
      </c>
      <c r="N54" s="44" t="s">
        <v>126</v>
      </c>
      <c r="O54" s="44" t="s">
        <v>126</v>
      </c>
      <c r="P54" s="106" t="s">
        <v>126</v>
      </c>
      <c r="Q54" s="107"/>
    </row>
    <row r="55" spans="1:17" ht="28.8">
      <c r="A55" s="108" t="s">
        <v>136</v>
      </c>
      <c r="B55" s="103">
        <v>60</v>
      </c>
      <c r="C55" s="44" t="s">
        <v>95</v>
      </c>
      <c r="D55" s="45">
        <v>1.1E-4</v>
      </c>
      <c r="E55" s="45">
        <v>1.2999999999999999E-4</v>
      </c>
      <c r="F55" s="45">
        <v>1.6000000000000001E-4</v>
      </c>
      <c r="G55" s="45">
        <v>2.2000000000000001E-4</v>
      </c>
      <c r="H55" s="45">
        <v>3.2000000000000003E-4</v>
      </c>
      <c r="I55" s="45">
        <v>4.2999999999999999E-4</v>
      </c>
      <c r="J55" s="45">
        <v>5.4000000000000001E-4</v>
      </c>
      <c r="K55" s="45">
        <v>6.4999999999999997E-4</v>
      </c>
      <c r="L55" s="45">
        <v>8.5999999999999998E-4</v>
      </c>
      <c r="M55" s="45">
        <v>1.08E-3</v>
      </c>
      <c r="N55" s="45">
        <v>1.2999999999999999E-3</v>
      </c>
      <c r="O55" s="45">
        <v>1.73E-3</v>
      </c>
      <c r="P55" s="44" t="s">
        <v>129</v>
      </c>
      <c r="Q55" s="44" t="s">
        <v>123</v>
      </c>
    </row>
    <row r="56" spans="1:17">
      <c r="A56" s="109"/>
      <c r="B56" s="104"/>
      <c r="C56" s="44" t="s">
        <v>99</v>
      </c>
      <c r="D56" s="45">
        <v>1.2999999999999999E-4</v>
      </c>
      <c r="E56" s="45">
        <v>1.7000000000000001E-4</v>
      </c>
      <c r="F56" s="45">
        <v>2.0000000000000001E-4</v>
      </c>
      <c r="G56" s="45">
        <v>2.7E-4</v>
      </c>
      <c r="H56" s="45">
        <v>4.0000000000000002E-4</v>
      </c>
      <c r="I56" s="45">
        <v>5.4000000000000001E-4</v>
      </c>
      <c r="J56" s="45">
        <v>6.7000000000000002E-4</v>
      </c>
      <c r="K56" s="45">
        <v>8.0999999999999996E-4</v>
      </c>
      <c r="L56" s="45">
        <v>1.08E-3</v>
      </c>
      <c r="M56" s="45">
        <v>1.3500000000000001E-3</v>
      </c>
      <c r="N56" s="45">
        <v>1.6199999999999999E-3</v>
      </c>
      <c r="O56" s="45">
        <v>2.16E-3</v>
      </c>
      <c r="P56" s="106" t="s">
        <v>125</v>
      </c>
      <c r="Q56" s="107"/>
    </row>
    <row r="57" spans="1:17">
      <c r="A57" s="110"/>
      <c r="B57" s="105"/>
      <c r="C57" s="44" t="s">
        <v>102</v>
      </c>
      <c r="D57" s="44" t="s">
        <v>126</v>
      </c>
      <c r="E57" s="44" t="s">
        <v>126</v>
      </c>
      <c r="F57" s="44" t="s">
        <v>126</v>
      </c>
      <c r="G57" s="44" t="s">
        <v>126</v>
      </c>
      <c r="H57" s="44" t="s">
        <v>126</v>
      </c>
      <c r="I57" s="44" t="s">
        <v>126</v>
      </c>
      <c r="J57" s="44" t="s">
        <v>126</v>
      </c>
      <c r="K57" s="44" t="s">
        <v>126</v>
      </c>
      <c r="L57" s="44" t="s">
        <v>126</v>
      </c>
      <c r="M57" s="44" t="s">
        <v>126</v>
      </c>
      <c r="N57" s="44" t="s">
        <v>126</v>
      </c>
      <c r="O57" s="44" t="s">
        <v>126</v>
      </c>
      <c r="P57" s="106" t="s">
        <v>126</v>
      </c>
      <c r="Q57" s="107"/>
    </row>
    <row r="58" spans="1:17" ht="28.8">
      <c r="A58" s="43" t="s">
        <v>137</v>
      </c>
      <c r="B58" s="103">
        <v>30</v>
      </c>
      <c r="C58" s="44" t="s">
        <v>95</v>
      </c>
      <c r="D58" s="45">
        <v>1.1E-4</v>
      </c>
      <c r="E58" s="45">
        <v>1.2999999999999999E-4</v>
      </c>
      <c r="F58" s="45">
        <v>1.6000000000000001E-4</v>
      </c>
      <c r="G58" s="45">
        <v>2.2000000000000001E-4</v>
      </c>
      <c r="H58" s="45">
        <v>3.2000000000000003E-4</v>
      </c>
      <c r="I58" s="45">
        <v>4.2999999999999999E-4</v>
      </c>
      <c r="J58" s="45">
        <v>5.4000000000000001E-4</v>
      </c>
      <c r="K58" s="45">
        <v>6.4999999999999997E-4</v>
      </c>
      <c r="L58" s="45">
        <v>8.5999999999999998E-4</v>
      </c>
      <c r="M58" s="45">
        <v>1.08E-3</v>
      </c>
      <c r="N58" s="45">
        <v>1.2999999999999999E-3</v>
      </c>
      <c r="O58" s="45">
        <v>1.73E-3</v>
      </c>
      <c r="P58" s="44" t="s">
        <v>129</v>
      </c>
      <c r="Q58" s="44" t="s">
        <v>123</v>
      </c>
    </row>
    <row r="59" spans="1:17">
      <c r="A59" s="102" t="s">
        <v>138</v>
      </c>
      <c r="B59" s="104"/>
      <c r="C59" s="44" t="s">
        <v>99</v>
      </c>
      <c r="D59" s="45">
        <v>1.2999999999999999E-4</v>
      </c>
      <c r="E59" s="45">
        <v>1.7000000000000001E-4</v>
      </c>
      <c r="F59" s="45">
        <v>2.0000000000000001E-4</v>
      </c>
      <c r="G59" s="45">
        <v>2.7E-4</v>
      </c>
      <c r="H59" s="45">
        <v>4.0000000000000002E-4</v>
      </c>
      <c r="I59" s="45">
        <v>5.4000000000000001E-4</v>
      </c>
      <c r="J59" s="45">
        <v>6.7000000000000002E-4</v>
      </c>
      <c r="K59" s="45">
        <v>8.0999999999999996E-4</v>
      </c>
      <c r="L59" s="45">
        <v>1.08E-3</v>
      </c>
      <c r="M59" s="45">
        <v>1.3500000000000001E-3</v>
      </c>
      <c r="N59" s="45">
        <v>1.6199999999999999E-3</v>
      </c>
      <c r="O59" s="45">
        <v>2.16E-3</v>
      </c>
      <c r="P59" s="106" t="s">
        <v>125</v>
      </c>
      <c r="Q59" s="107"/>
    </row>
    <row r="60" spans="1:17">
      <c r="A60" s="102"/>
      <c r="B60" s="104"/>
      <c r="C60" s="96" t="s">
        <v>102</v>
      </c>
      <c r="D60" s="96" t="s">
        <v>126</v>
      </c>
      <c r="E60" s="96" t="s">
        <v>126</v>
      </c>
      <c r="F60" s="96" t="s">
        <v>126</v>
      </c>
      <c r="G60" s="96" t="s">
        <v>126</v>
      </c>
      <c r="H60" s="96" t="s">
        <v>126</v>
      </c>
      <c r="I60" s="96" t="s">
        <v>126</v>
      </c>
      <c r="J60" s="96" t="s">
        <v>126</v>
      </c>
      <c r="K60" s="96" t="s">
        <v>126</v>
      </c>
      <c r="L60" s="96" t="s">
        <v>126</v>
      </c>
      <c r="M60" s="96" t="s">
        <v>126</v>
      </c>
      <c r="N60" s="96" t="s">
        <v>126</v>
      </c>
      <c r="O60" s="96" t="s">
        <v>126</v>
      </c>
      <c r="P60" s="98" t="s">
        <v>126</v>
      </c>
      <c r="Q60" s="99"/>
    </row>
    <row r="61" spans="1:17">
      <c r="A61" s="97"/>
      <c r="B61" s="105"/>
      <c r="C61" s="97"/>
      <c r="D61" s="97"/>
      <c r="E61" s="97"/>
      <c r="F61" s="97"/>
      <c r="G61" s="97"/>
      <c r="H61" s="97"/>
      <c r="I61" s="97"/>
      <c r="J61" s="97"/>
      <c r="K61" s="97"/>
      <c r="L61" s="97"/>
      <c r="M61" s="97"/>
      <c r="N61" s="97"/>
      <c r="O61" s="97"/>
      <c r="P61" s="100"/>
      <c r="Q61" s="101"/>
    </row>
  </sheetData>
  <sheetProtection sheet="1" objects="1" scenarios="1"/>
  <mergeCells count="194">
    <mergeCell ref="A1:A3"/>
    <mergeCell ref="B1:Q1"/>
    <mergeCell ref="B2:B3"/>
    <mergeCell ref="C2:O2"/>
    <mergeCell ref="P2:Q2"/>
    <mergeCell ref="C3:D3"/>
    <mergeCell ref="B4:B5"/>
    <mergeCell ref="C5:C6"/>
    <mergeCell ref="D5:D6"/>
    <mergeCell ref="E5:E6"/>
    <mergeCell ref="F5:F6"/>
    <mergeCell ref="G5:G6"/>
    <mergeCell ref="H5:H6"/>
    <mergeCell ref="I5:I6"/>
    <mergeCell ref="J5:J6"/>
    <mergeCell ref="K5:K6"/>
    <mergeCell ref="L5:L6"/>
    <mergeCell ref="M5:M6"/>
    <mergeCell ref="N5:N6"/>
    <mergeCell ref="O5:O6"/>
    <mergeCell ref="P5:Q6"/>
    <mergeCell ref="A6:A7"/>
    <mergeCell ref="B6:B7"/>
    <mergeCell ref="P7:Q7"/>
    <mergeCell ref="C8:C9"/>
    <mergeCell ref="D8:D9"/>
    <mergeCell ref="E8:E9"/>
    <mergeCell ref="F8:F9"/>
    <mergeCell ref="G8:G9"/>
    <mergeCell ref="H8:H9"/>
    <mergeCell ref="I8:I9"/>
    <mergeCell ref="J8:J9"/>
    <mergeCell ref="K8:K9"/>
    <mergeCell ref="L8:L9"/>
    <mergeCell ref="M8:M9"/>
    <mergeCell ref="N8:N9"/>
    <mergeCell ref="O8:O9"/>
    <mergeCell ref="P8:P9"/>
    <mergeCell ref="Q8:Q9"/>
    <mergeCell ref="A9:A10"/>
    <mergeCell ref="B9:B10"/>
    <mergeCell ref="C10:C12"/>
    <mergeCell ref="D10:D12"/>
    <mergeCell ref="E10:E12"/>
    <mergeCell ref="F10:F12"/>
    <mergeCell ref="G10:G12"/>
    <mergeCell ref="H10:H12"/>
    <mergeCell ref="I10:I12"/>
    <mergeCell ref="J10:J12"/>
    <mergeCell ref="K10:K12"/>
    <mergeCell ref="L10:L12"/>
    <mergeCell ref="M10:M12"/>
    <mergeCell ref="N10:N12"/>
    <mergeCell ref="O10:O12"/>
    <mergeCell ref="P10:Q12"/>
    <mergeCell ref="A12:A13"/>
    <mergeCell ref="B12:B13"/>
    <mergeCell ref="C13:C15"/>
    <mergeCell ref="D13:D15"/>
    <mergeCell ref="E13:E15"/>
    <mergeCell ref="F13:F15"/>
    <mergeCell ref="G13:G15"/>
    <mergeCell ref="H13:H15"/>
    <mergeCell ref="I13:I15"/>
    <mergeCell ref="J13:J15"/>
    <mergeCell ref="K13:K15"/>
    <mergeCell ref="L13:L15"/>
    <mergeCell ref="M13:M15"/>
    <mergeCell ref="N13:N15"/>
    <mergeCell ref="O13:O15"/>
    <mergeCell ref="P13:Q15"/>
    <mergeCell ref="A16:A17"/>
    <mergeCell ref="B16:B17"/>
    <mergeCell ref="C17:C18"/>
    <mergeCell ref="D17:D18"/>
    <mergeCell ref="E17:E18"/>
    <mergeCell ref="F17:F18"/>
    <mergeCell ref="G17:G18"/>
    <mergeCell ref="H17:H18"/>
    <mergeCell ref="I17:I18"/>
    <mergeCell ref="J17:J18"/>
    <mergeCell ref="K17:K18"/>
    <mergeCell ref="L17:L18"/>
    <mergeCell ref="M17:M18"/>
    <mergeCell ref="N17:N18"/>
    <mergeCell ref="O17:O18"/>
    <mergeCell ref="P17:Q18"/>
    <mergeCell ref="A18:A19"/>
    <mergeCell ref="B18:B19"/>
    <mergeCell ref="P19:Q19"/>
    <mergeCell ref="B20:B21"/>
    <mergeCell ref="C20:C23"/>
    <mergeCell ref="D20:D23"/>
    <mergeCell ref="E20:E23"/>
    <mergeCell ref="F20:F23"/>
    <mergeCell ref="G20:G23"/>
    <mergeCell ref="H20:H23"/>
    <mergeCell ref="I20:I23"/>
    <mergeCell ref="J20:J23"/>
    <mergeCell ref="A59:A61"/>
    <mergeCell ref="K20:K23"/>
    <mergeCell ref="L20:L23"/>
    <mergeCell ref="M20:M23"/>
    <mergeCell ref="N20:N23"/>
    <mergeCell ref="O20:O23"/>
    <mergeCell ref="P20:P23"/>
    <mergeCell ref="Q20:Q23"/>
    <mergeCell ref="A23:A24"/>
    <mergeCell ref="B23:B24"/>
    <mergeCell ref="C24:C27"/>
    <mergeCell ref="D24:D27"/>
    <mergeCell ref="E24:E27"/>
    <mergeCell ref="F24:F27"/>
    <mergeCell ref="G24:G27"/>
    <mergeCell ref="H24:H27"/>
    <mergeCell ref="I24:I27"/>
    <mergeCell ref="J24:J27"/>
    <mergeCell ref="K24:K27"/>
    <mergeCell ref="L24:L27"/>
    <mergeCell ref="M24:M27"/>
    <mergeCell ref="N24:N27"/>
    <mergeCell ref="O24:O27"/>
    <mergeCell ref="P24:Q27"/>
    <mergeCell ref="K28:K29"/>
    <mergeCell ref="L28:L29"/>
    <mergeCell ref="M28:M29"/>
    <mergeCell ref="N28:N29"/>
    <mergeCell ref="O28:O29"/>
    <mergeCell ref="P28:Q29"/>
    <mergeCell ref="A30:Q30"/>
    <mergeCell ref="A31:A33"/>
    <mergeCell ref="B31:Q31"/>
    <mergeCell ref="B32:B33"/>
    <mergeCell ref="C32:O32"/>
    <mergeCell ref="P32:Q32"/>
    <mergeCell ref="C33:D33"/>
    <mergeCell ref="B27:B28"/>
    <mergeCell ref="C28:C29"/>
    <mergeCell ref="D28:D29"/>
    <mergeCell ref="E28:E29"/>
    <mergeCell ref="F28:F29"/>
    <mergeCell ref="G28:G29"/>
    <mergeCell ref="H28:H29"/>
    <mergeCell ref="I28:I29"/>
    <mergeCell ref="J28:J29"/>
    <mergeCell ref="A27:A28"/>
    <mergeCell ref="M60:M61"/>
    <mergeCell ref="N60:N61"/>
    <mergeCell ref="O60:O61"/>
    <mergeCell ref="B34:B36"/>
    <mergeCell ref="A35:A36"/>
    <mergeCell ref="P35:Q35"/>
    <mergeCell ref="P36:Q36"/>
    <mergeCell ref="A37:A39"/>
    <mergeCell ref="B37:B39"/>
    <mergeCell ref="P38:Q38"/>
    <mergeCell ref="P39:Q39"/>
    <mergeCell ref="B40:B42"/>
    <mergeCell ref="A41:A42"/>
    <mergeCell ref="P41:Q41"/>
    <mergeCell ref="P42:Q42"/>
    <mergeCell ref="C60:C61"/>
    <mergeCell ref="D60:D61"/>
    <mergeCell ref="E60:E61"/>
    <mergeCell ref="F60:F61"/>
    <mergeCell ref="G60:G61"/>
    <mergeCell ref="H60:H61"/>
    <mergeCell ref="I60:I61"/>
    <mergeCell ref="P59:Q59"/>
    <mergeCell ref="J60:J61"/>
    <mergeCell ref="K60:K61"/>
    <mergeCell ref="P60:Q61"/>
    <mergeCell ref="A43:A45"/>
    <mergeCell ref="B43:B45"/>
    <mergeCell ref="P44:Q44"/>
    <mergeCell ref="P45:Q45"/>
    <mergeCell ref="A46:A48"/>
    <mergeCell ref="B46:B48"/>
    <mergeCell ref="P47:Q47"/>
    <mergeCell ref="P48:Q48"/>
    <mergeCell ref="B49:B51"/>
    <mergeCell ref="A50:A51"/>
    <mergeCell ref="P50:Q50"/>
    <mergeCell ref="P51:Q51"/>
    <mergeCell ref="A52:A54"/>
    <mergeCell ref="B52:B54"/>
    <mergeCell ref="P53:Q53"/>
    <mergeCell ref="P54:Q54"/>
    <mergeCell ref="A55:A57"/>
    <mergeCell ref="B55:B57"/>
    <mergeCell ref="P56:Q56"/>
    <mergeCell ref="P57:Q57"/>
    <mergeCell ref="B58:B61"/>
    <mergeCell ref="L60:L61"/>
  </mergeCells>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Drilling Milling Tapping</vt:lpstr>
      <vt:lpstr>Tapping</vt:lpstr>
      <vt:lpstr>Light - Heavy Cut</vt:lpstr>
      <vt:lpstr>Axial vs. Radial - Peripheral</vt:lpstr>
      <vt:lpstr>High Efficiency</vt:lpstr>
      <vt:lpstr>Gen. Drill Mill Chamfer HSST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Cheese</cp:lastModifiedBy>
  <cp:revision>49</cp:revision>
  <dcterms:modified xsi:type="dcterms:W3CDTF">2026-06-01T01:26:38Z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rmulaDeskUniqueName">
    <vt:lpwstr>1de0d729-a40d-42b5-8ceb-69b445147fd8</vt:lpwstr>
  </property>
</Properties>
</file>